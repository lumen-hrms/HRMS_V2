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How to use" sheetId="4" state="visible" r:id="rId4"/>
  </sheets>
  <definedNames>
    <definedName name="_xlnm._FilterDatabase" localSheetId="1" hidden="1">'Test Cases'!$A$1:$K$252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595959"/>
    </font>
    <font>
      <b val="1"/>
    </font>
    <font>
      <b val="1"/>
      <sz val="12"/>
    </font>
    <font>
      <i val="1"/>
      <color rgb="00C0000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9" fontId="0" fillId="0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HRMS Demo Test Tracker — Summary</t>
        </is>
      </c>
    </row>
    <row r="2">
      <c r="A2" s="2" t="inlineStr">
        <is>
          <t>Live counts update from the "Test Cases" sheet. Edit only the yellow cells there.</t>
        </is>
      </c>
    </row>
    <row r="4">
      <c r="A4" s="3" t="inlineStr">
        <is>
          <t>Suite</t>
        </is>
      </c>
      <c r="B4" s="3" t="inlineStr">
        <is>
          <t>Total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Blocked</t>
        </is>
      </c>
      <c r="F4" s="3" t="inlineStr">
        <is>
          <t>Skipped</t>
        </is>
      </c>
      <c r="G4" s="3" t="inlineStr">
        <is>
          <t>Not run</t>
        </is>
      </c>
      <c r="H4" s="3" t="inlineStr">
        <is>
          <t>% Pass</t>
        </is>
      </c>
      <c r="I4" s="3" t="inlineStr">
        <is>
          <t>Done ✔</t>
        </is>
      </c>
    </row>
    <row r="5">
      <c r="A5" s="4" t="inlineStr">
        <is>
          <t>Environment &amp; test data</t>
        </is>
      </c>
      <c r="B5" s="4">
        <f>COUNTIF('Test Cases'!$B$2:$B$252,A5)</f>
        <v/>
      </c>
      <c r="C5" s="4">
        <f>COUNTIFS('Test Cases'!$B$2:$B$252,$A5,'Test Cases'!$F$2:$F$252,"Pass")</f>
        <v/>
      </c>
      <c r="D5" s="4">
        <f>COUNTIFS('Test Cases'!$B$2:$B$252,$A5,'Test Cases'!$F$2:$F$252,"Fail")</f>
        <v/>
      </c>
      <c r="E5" s="4">
        <f>COUNTIFS('Test Cases'!$B$2:$B$252,$A5,'Test Cases'!$F$2:$F$252,"Blocked")</f>
        <v/>
      </c>
      <c r="F5" s="4">
        <f>COUNTIFS('Test Cases'!$B$2:$B$252,$A5,'Test Cases'!$F$2:$F$252,"Skipped")</f>
        <v/>
      </c>
      <c r="G5" s="4">
        <f>COUNTIFS('Test Cases'!$B$2:$B$252,$A5,'Test Cases'!$F$2:$F$252,"Not run")</f>
        <v/>
      </c>
      <c r="H5" s="5">
        <f>IF(B5=0,0,C5/B5)</f>
        <v/>
      </c>
      <c r="I5" s="4">
        <f>COUNTIFS('Test Cases'!$B$2:$B$252,$A5,'Test Cases'!$G$2:$G$252,TRUE)</f>
        <v/>
      </c>
    </row>
    <row r="6">
      <c r="A6" s="4" t="inlineStr">
        <is>
          <t>Landing &amp; contact</t>
        </is>
      </c>
      <c r="B6" s="4">
        <f>COUNTIF('Test Cases'!$B$2:$B$252,A6)</f>
        <v/>
      </c>
      <c r="C6" s="4">
        <f>COUNTIFS('Test Cases'!$B$2:$B$252,$A6,'Test Cases'!$F$2:$F$252,"Pass")</f>
        <v/>
      </c>
      <c r="D6" s="4">
        <f>COUNTIFS('Test Cases'!$B$2:$B$252,$A6,'Test Cases'!$F$2:$F$252,"Fail")</f>
        <v/>
      </c>
      <c r="E6" s="4">
        <f>COUNTIFS('Test Cases'!$B$2:$B$252,$A6,'Test Cases'!$F$2:$F$252,"Blocked")</f>
        <v/>
      </c>
      <c r="F6" s="4">
        <f>COUNTIFS('Test Cases'!$B$2:$B$252,$A6,'Test Cases'!$F$2:$F$252,"Skipped")</f>
        <v/>
      </c>
      <c r="G6" s="4">
        <f>COUNTIFS('Test Cases'!$B$2:$B$252,$A6,'Test Cases'!$F$2:$F$252,"Not run")</f>
        <v/>
      </c>
      <c r="H6" s="5">
        <f>IF(B6=0,0,C6/B6)</f>
        <v/>
      </c>
      <c r="I6" s="4">
        <f>COUNTIFS('Test Cases'!$B$2:$B$252,$A6,'Test Cases'!$G$2:$G$252,TRUE)</f>
        <v/>
      </c>
    </row>
    <row r="7">
      <c r="A7" s="4" t="inlineStr">
        <is>
          <t>Sign-in &amp; session</t>
        </is>
      </c>
      <c r="B7" s="4">
        <f>COUNTIF('Test Cases'!$B$2:$B$252,A7)</f>
        <v/>
      </c>
      <c r="C7" s="4">
        <f>COUNTIFS('Test Cases'!$B$2:$B$252,$A7,'Test Cases'!$F$2:$F$252,"Pass")</f>
        <v/>
      </c>
      <c r="D7" s="4">
        <f>COUNTIFS('Test Cases'!$B$2:$B$252,$A7,'Test Cases'!$F$2:$F$252,"Fail")</f>
        <v/>
      </c>
      <c r="E7" s="4">
        <f>COUNTIFS('Test Cases'!$B$2:$B$252,$A7,'Test Cases'!$F$2:$F$252,"Blocked")</f>
        <v/>
      </c>
      <c r="F7" s="4">
        <f>COUNTIFS('Test Cases'!$B$2:$B$252,$A7,'Test Cases'!$F$2:$F$252,"Skipped")</f>
        <v/>
      </c>
      <c r="G7" s="4">
        <f>COUNTIFS('Test Cases'!$B$2:$B$252,$A7,'Test Cases'!$F$2:$F$252,"Not run")</f>
        <v/>
      </c>
      <c r="H7" s="5">
        <f>IF(B7=0,0,C7/B7)</f>
        <v/>
      </c>
      <c r="I7" s="4">
        <f>COUNTIFS('Test Cases'!$B$2:$B$252,$A7,'Test Cases'!$G$2:$G$252,TRUE)</f>
        <v/>
      </c>
    </row>
    <row r="8">
      <c r="A8" s="4" t="inlineStr">
        <is>
          <t>Platform Admin console</t>
        </is>
      </c>
      <c r="B8" s="4">
        <f>COUNTIF('Test Cases'!$B$2:$B$252,A8)</f>
        <v/>
      </c>
      <c r="C8" s="4">
        <f>COUNTIFS('Test Cases'!$B$2:$B$252,$A8,'Test Cases'!$F$2:$F$252,"Pass")</f>
        <v/>
      </c>
      <c r="D8" s="4">
        <f>COUNTIFS('Test Cases'!$B$2:$B$252,$A8,'Test Cases'!$F$2:$F$252,"Fail")</f>
        <v/>
      </c>
      <c r="E8" s="4">
        <f>COUNTIFS('Test Cases'!$B$2:$B$252,$A8,'Test Cases'!$F$2:$F$252,"Blocked")</f>
        <v/>
      </c>
      <c r="F8" s="4">
        <f>COUNTIFS('Test Cases'!$B$2:$B$252,$A8,'Test Cases'!$F$2:$F$252,"Skipped")</f>
        <v/>
      </c>
      <c r="G8" s="4">
        <f>COUNTIFS('Test Cases'!$B$2:$B$252,$A8,'Test Cases'!$F$2:$F$252,"Not run")</f>
        <v/>
      </c>
      <c r="H8" s="5">
        <f>IF(B8=0,0,C8/B8)</f>
        <v/>
      </c>
      <c r="I8" s="4">
        <f>COUNTIFS('Test Cases'!$B$2:$B$252,$A8,'Test Cases'!$G$2:$G$252,TRUE)</f>
        <v/>
      </c>
    </row>
    <row r="9">
      <c r="A9" s="4" t="inlineStr">
        <is>
          <t>Tenant config &amp; wizard</t>
        </is>
      </c>
      <c r="B9" s="4">
        <f>COUNTIF('Test Cases'!$B$2:$B$252,A9)</f>
        <v/>
      </c>
      <c r="C9" s="4">
        <f>COUNTIFS('Test Cases'!$B$2:$B$252,$A9,'Test Cases'!$F$2:$F$252,"Pass")</f>
        <v/>
      </c>
      <c r="D9" s="4">
        <f>COUNTIFS('Test Cases'!$B$2:$B$252,$A9,'Test Cases'!$F$2:$F$252,"Fail")</f>
        <v/>
      </c>
      <c r="E9" s="4">
        <f>COUNTIFS('Test Cases'!$B$2:$B$252,$A9,'Test Cases'!$F$2:$F$252,"Blocked")</f>
        <v/>
      </c>
      <c r="F9" s="4">
        <f>COUNTIFS('Test Cases'!$B$2:$B$252,$A9,'Test Cases'!$F$2:$F$252,"Skipped")</f>
        <v/>
      </c>
      <c r="G9" s="4">
        <f>COUNTIFS('Test Cases'!$B$2:$B$252,$A9,'Test Cases'!$F$2:$F$252,"Not run")</f>
        <v/>
      </c>
      <c r="H9" s="5">
        <f>IF(B9=0,0,C9/B9)</f>
        <v/>
      </c>
      <c r="I9" s="4">
        <f>COUNTIFS('Test Cases'!$B$2:$B$252,$A9,'Test Cases'!$G$2:$G$252,TRUE)</f>
        <v/>
      </c>
    </row>
    <row r="10">
      <c r="A10" s="4" t="inlineStr">
        <is>
          <t>Employee Master</t>
        </is>
      </c>
      <c r="B10" s="4">
        <f>COUNTIF('Test Cases'!$B$2:$B$252,A10)</f>
        <v/>
      </c>
      <c r="C10" s="4">
        <f>COUNTIFS('Test Cases'!$B$2:$B$252,$A10,'Test Cases'!$F$2:$F$252,"Pass")</f>
        <v/>
      </c>
      <c r="D10" s="4">
        <f>COUNTIFS('Test Cases'!$B$2:$B$252,$A10,'Test Cases'!$F$2:$F$252,"Fail")</f>
        <v/>
      </c>
      <c r="E10" s="4">
        <f>COUNTIFS('Test Cases'!$B$2:$B$252,$A10,'Test Cases'!$F$2:$F$252,"Blocked")</f>
        <v/>
      </c>
      <c r="F10" s="4">
        <f>COUNTIFS('Test Cases'!$B$2:$B$252,$A10,'Test Cases'!$F$2:$F$252,"Skipped")</f>
        <v/>
      </c>
      <c r="G10" s="4">
        <f>COUNTIFS('Test Cases'!$B$2:$B$252,$A10,'Test Cases'!$F$2:$F$252,"Not run")</f>
        <v/>
      </c>
      <c r="H10" s="5">
        <f>IF(B10=0,0,C10/B10)</f>
        <v/>
      </c>
      <c r="I10" s="4">
        <f>COUNTIFS('Test Cases'!$B$2:$B$252,$A10,'Test Cases'!$G$2:$G$252,TRUE)</f>
        <v/>
      </c>
    </row>
    <row r="11">
      <c r="A11" s="4" t="inlineStr">
        <is>
          <t>Access management</t>
        </is>
      </c>
      <c r="B11" s="4">
        <f>COUNTIF('Test Cases'!$B$2:$B$252,A11)</f>
        <v/>
      </c>
      <c r="C11" s="4">
        <f>COUNTIFS('Test Cases'!$B$2:$B$252,$A11,'Test Cases'!$F$2:$F$252,"Pass")</f>
        <v/>
      </c>
      <c r="D11" s="4">
        <f>COUNTIFS('Test Cases'!$B$2:$B$252,$A11,'Test Cases'!$F$2:$F$252,"Fail")</f>
        <v/>
      </c>
      <c r="E11" s="4">
        <f>COUNTIFS('Test Cases'!$B$2:$B$252,$A11,'Test Cases'!$F$2:$F$252,"Blocked")</f>
        <v/>
      </c>
      <c r="F11" s="4">
        <f>COUNTIFS('Test Cases'!$B$2:$B$252,$A11,'Test Cases'!$F$2:$F$252,"Skipped")</f>
        <v/>
      </c>
      <c r="G11" s="4">
        <f>COUNTIFS('Test Cases'!$B$2:$B$252,$A11,'Test Cases'!$F$2:$F$252,"Not run")</f>
        <v/>
      </c>
      <c r="H11" s="5">
        <f>IF(B11=0,0,C11/B11)</f>
        <v/>
      </c>
      <c r="I11" s="4">
        <f>COUNTIFS('Test Cases'!$B$2:$B$252,$A11,'Test Cases'!$G$2:$G$252,TRUE)</f>
        <v/>
      </c>
    </row>
    <row r="12">
      <c r="A12" s="4" t="inlineStr">
        <is>
          <t>Leave management</t>
        </is>
      </c>
      <c r="B12" s="4">
        <f>COUNTIF('Test Cases'!$B$2:$B$252,A12)</f>
        <v/>
      </c>
      <c r="C12" s="4">
        <f>COUNTIFS('Test Cases'!$B$2:$B$252,$A12,'Test Cases'!$F$2:$F$252,"Pass")</f>
        <v/>
      </c>
      <c r="D12" s="4">
        <f>COUNTIFS('Test Cases'!$B$2:$B$252,$A12,'Test Cases'!$F$2:$F$252,"Fail")</f>
        <v/>
      </c>
      <c r="E12" s="4">
        <f>COUNTIFS('Test Cases'!$B$2:$B$252,$A12,'Test Cases'!$F$2:$F$252,"Blocked")</f>
        <v/>
      </c>
      <c r="F12" s="4">
        <f>COUNTIFS('Test Cases'!$B$2:$B$252,$A12,'Test Cases'!$F$2:$F$252,"Skipped")</f>
        <v/>
      </c>
      <c r="G12" s="4">
        <f>COUNTIFS('Test Cases'!$B$2:$B$252,$A12,'Test Cases'!$F$2:$F$252,"Not run")</f>
        <v/>
      </c>
      <c r="H12" s="5">
        <f>IF(B12=0,0,C12/B12)</f>
        <v/>
      </c>
      <c r="I12" s="4">
        <f>COUNTIFS('Test Cases'!$B$2:$B$252,$A12,'Test Cases'!$G$2:$G$252,TRUE)</f>
        <v/>
      </c>
    </row>
    <row r="13">
      <c r="A13" s="4" t="inlineStr">
        <is>
          <t>Attendance</t>
        </is>
      </c>
      <c r="B13" s="4">
        <f>COUNTIF('Test Cases'!$B$2:$B$252,A13)</f>
        <v/>
      </c>
      <c r="C13" s="4">
        <f>COUNTIFS('Test Cases'!$B$2:$B$252,$A13,'Test Cases'!$F$2:$F$252,"Pass")</f>
        <v/>
      </c>
      <c r="D13" s="4">
        <f>COUNTIFS('Test Cases'!$B$2:$B$252,$A13,'Test Cases'!$F$2:$F$252,"Fail")</f>
        <v/>
      </c>
      <c r="E13" s="4">
        <f>COUNTIFS('Test Cases'!$B$2:$B$252,$A13,'Test Cases'!$F$2:$F$252,"Blocked")</f>
        <v/>
      </c>
      <c r="F13" s="4">
        <f>COUNTIFS('Test Cases'!$B$2:$B$252,$A13,'Test Cases'!$F$2:$F$252,"Skipped")</f>
        <v/>
      </c>
      <c r="G13" s="4">
        <f>COUNTIFS('Test Cases'!$B$2:$B$252,$A13,'Test Cases'!$F$2:$F$252,"Not run")</f>
        <v/>
      </c>
      <c r="H13" s="5">
        <f>IF(B13=0,0,C13/B13)</f>
        <v/>
      </c>
      <c r="I13" s="4">
        <f>COUNTIFS('Test Cases'!$B$2:$B$252,$A13,'Test Cases'!$G$2:$G$252,TRUE)</f>
        <v/>
      </c>
    </row>
    <row r="14">
      <c r="A14" s="4" t="inlineStr">
        <is>
          <t>Dashboard</t>
        </is>
      </c>
      <c r="B14" s="4">
        <f>COUNTIF('Test Cases'!$B$2:$B$252,A14)</f>
        <v/>
      </c>
      <c r="C14" s="4">
        <f>COUNTIFS('Test Cases'!$B$2:$B$252,$A14,'Test Cases'!$F$2:$F$252,"Pass")</f>
        <v/>
      </c>
      <c r="D14" s="4">
        <f>COUNTIFS('Test Cases'!$B$2:$B$252,$A14,'Test Cases'!$F$2:$F$252,"Fail")</f>
        <v/>
      </c>
      <c r="E14" s="4">
        <f>COUNTIFS('Test Cases'!$B$2:$B$252,$A14,'Test Cases'!$F$2:$F$252,"Blocked")</f>
        <v/>
      </c>
      <c r="F14" s="4">
        <f>COUNTIFS('Test Cases'!$B$2:$B$252,$A14,'Test Cases'!$F$2:$F$252,"Skipped")</f>
        <v/>
      </c>
      <c r="G14" s="4">
        <f>COUNTIFS('Test Cases'!$B$2:$B$252,$A14,'Test Cases'!$F$2:$F$252,"Not run")</f>
        <v/>
      </c>
      <c r="H14" s="5">
        <f>IF(B14=0,0,C14/B14)</f>
        <v/>
      </c>
      <c r="I14" s="4">
        <f>COUNTIFS('Test Cases'!$B$2:$B$252,$A14,'Test Cases'!$G$2:$G$252,TRUE)</f>
        <v/>
      </c>
    </row>
    <row r="15">
      <c r="A15" s="4" t="inlineStr">
        <is>
          <t>Documents</t>
        </is>
      </c>
      <c r="B15" s="4">
        <f>COUNTIF('Test Cases'!$B$2:$B$252,A15)</f>
        <v/>
      </c>
      <c r="C15" s="4">
        <f>COUNTIFS('Test Cases'!$B$2:$B$252,$A15,'Test Cases'!$F$2:$F$252,"Pass")</f>
        <v/>
      </c>
      <c r="D15" s="4">
        <f>COUNTIFS('Test Cases'!$B$2:$B$252,$A15,'Test Cases'!$F$2:$F$252,"Fail")</f>
        <v/>
      </c>
      <c r="E15" s="4">
        <f>COUNTIFS('Test Cases'!$B$2:$B$252,$A15,'Test Cases'!$F$2:$F$252,"Blocked")</f>
        <v/>
      </c>
      <c r="F15" s="4">
        <f>COUNTIFS('Test Cases'!$B$2:$B$252,$A15,'Test Cases'!$F$2:$F$252,"Skipped")</f>
        <v/>
      </c>
      <c r="G15" s="4">
        <f>COUNTIFS('Test Cases'!$B$2:$B$252,$A15,'Test Cases'!$F$2:$F$252,"Not run")</f>
        <v/>
      </c>
      <c r="H15" s="5">
        <f>IF(B15=0,0,C15/B15)</f>
        <v/>
      </c>
      <c r="I15" s="4">
        <f>COUNTIFS('Test Cases'!$B$2:$B$252,$A15,'Test Cases'!$G$2:$G$252,TRUE)</f>
        <v/>
      </c>
    </row>
    <row r="16">
      <c r="A16" s="4" t="inlineStr">
        <is>
          <t>Notifications</t>
        </is>
      </c>
      <c r="B16" s="4">
        <f>COUNTIF('Test Cases'!$B$2:$B$252,A16)</f>
        <v/>
      </c>
      <c r="C16" s="4">
        <f>COUNTIFS('Test Cases'!$B$2:$B$252,$A16,'Test Cases'!$F$2:$F$252,"Pass")</f>
        <v/>
      </c>
      <c r="D16" s="4">
        <f>COUNTIFS('Test Cases'!$B$2:$B$252,$A16,'Test Cases'!$F$2:$F$252,"Fail")</f>
        <v/>
      </c>
      <c r="E16" s="4">
        <f>COUNTIFS('Test Cases'!$B$2:$B$252,$A16,'Test Cases'!$F$2:$F$252,"Blocked")</f>
        <v/>
      </c>
      <c r="F16" s="4">
        <f>COUNTIFS('Test Cases'!$B$2:$B$252,$A16,'Test Cases'!$F$2:$F$252,"Skipped")</f>
        <v/>
      </c>
      <c r="G16" s="4">
        <f>COUNTIFS('Test Cases'!$B$2:$B$252,$A16,'Test Cases'!$F$2:$F$252,"Not run")</f>
        <v/>
      </c>
      <c r="H16" s="5">
        <f>IF(B16=0,0,C16/B16)</f>
        <v/>
      </c>
      <c r="I16" s="4">
        <f>COUNTIFS('Test Cases'!$B$2:$B$252,$A16,'Test Cases'!$G$2:$G$252,TRUE)</f>
        <v/>
      </c>
    </row>
    <row r="17">
      <c r="A17" s="4" t="inlineStr">
        <is>
          <t>Reports &amp; analytics</t>
        </is>
      </c>
      <c r="B17" s="4">
        <f>COUNTIF('Test Cases'!$B$2:$B$252,A17)</f>
        <v/>
      </c>
      <c r="C17" s="4">
        <f>COUNTIFS('Test Cases'!$B$2:$B$252,$A17,'Test Cases'!$F$2:$F$252,"Pass")</f>
        <v/>
      </c>
      <c r="D17" s="4">
        <f>COUNTIFS('Test Cases'!$B$2:$B$252,$A17,'Test Cases'!$F$2:$F$252,"Fail")</f>
        <v/>
      </c>
      <c r="E17" s="4">
        <f>COUNTIFS('Test Cases'!$B$2:$B$252,$A17,'Test Cases'!$F$2:$F$252,"Blocked")</f>
        <v/>
      </c>
      <c r="F17" s="4">
        <f>COUNTIFS('Test Cases'!$B$2:$B$252,$A17,'Test Cases'!$F$2:$F$252,"Skipped")</f>
        <v/>
      </c>
      <c r="G17" s="4">
        <f>COUNTIFS('Test Cases'!$B$2:$B$252,$A17,'Test Cases'!$F$2:$F$252,"Not run")</f>
        <v/>
      </c>
      <c r="H17" s="5">
        <f>IF(B17=0,0,C17/B17)</f>
        <v/>
      </c>
      <c r="I17" s="4">
        <f>COUNTIFS('Test Cases'!$B$2:$B$252,$A17,'Test Cases'!$G$2:$G$252,TRUE)</f>
        <v/>
      </c>
    </row>
    <row r="18">
      <c r="A18" s="4" t="inlineStr">
        <is>
          <t>Audit log</t>
        </is>
      </c>
      <c r="B18" s="4">
        <f>COUNTIF('Test Cases'!$B$2:$B$252,A18)</f>
        <v/>
      </c>
      <c r="C18" s="4">
        <f>COUNTIFS('Test Cases'!$B$2:$B$252,$A18,'Test Cases'!$F$2:$F$252,"Pass")</f>
        <v/>
      </c>
      <c r="D18" s="4">
        <f>COUNTIFS('Test Cases'!$B$2:$B$252,$A18,'Test Cases'!$F$2:$F$252,"Fail")</f>
        <v/>
      </c>
      <c r="E18" s="4">
        <f>COUNTIFS('Test Cases'!$B$2:$B$252,$A18,'Test Cases'!$F$2:$F$252,"Blocked")</f>
        <v/>
      </c>
      <c r="F18" s="4">
        <f>COUNTIFS('Test Cases'!$B$2:$B$252,$A18,'Test Cases'!$F$2:$F$252,"Skipped")</f>
        <v/>
      </c>
      <c r="G18" s="4">
        <f>COUNTIFS('Test Cases'!$B$2:$B$252,$A18,'Test Cases'!$F$2:$F$252,"Not run")</f>
        <v/>
      </c>
      <c r="H18" s="5">
        <f>IF(B18=0,0,C18/B18)</f>
        <v/>
      </c>
      <c r="I18" s="4">
        <f>COUNTIFS('Test Cases'!$B$2:$B$252,$A18,'Test Cases'!$G$2:$G$252,TRUE)</f>
        <v/>
      </c>
    </row>
    <row r="19">
      <c r="A19" s="4" t="inlineStr">
        <is>
          <t>Cross-role permissions</t>
        </is>
      </c>
      <c r="B19" s="4">
        <f>COUNTIF('Test Cases'!$B$2:$B$252,A19)</f>
        <v/>
      </c>
      <c r="C19" s="4">
        <f>COUNTIFS('Test Cases'!$B$2:$B$252,$A19,'Test Cases'!$F$2:$F$252,"Pass")</f>
        <v/>
      </c>
      <c r="D19" s="4">
        <f>COUNTIFS('Test Cases'!$B$2:$B$252,$A19,'Test Cases'!$F$2:$F$252,"Fail")</f>
        <v/>
      </c>
      <c r="E19" s="4">
        <f>COUNTIFS('Test Cases'!$B$2:$B$252,$A19,'Test Cases'!$F$2:$F$252,"Blocked")</f>
        <v/>
      </c>
      <c r="F19" s="4">
        <f>COUNTIFS('Test Cases'!$B$2:$B$252,$A19,'Test Cases'!$F$2:$F$252,"Skipped")</f>
        <v/>
      </c>
      <c r="G19" s="4">
        <f>COUNTIFS('Test Cases'!$B$2:$B$252,$A19,'Test Cases'!$F$2:$F$252,"Not run")</f>
        <v/>
      </c>
      <c r="H19" s="5">
        <f>IF(B19=0,0,C19/B19)</f>
        <v/>
      </c>
      <c r="I19" s="4">
        <f>COUNTIFS('Test Cases'!$B$2:$B$252,$A19,'Test Cases'!$G$2:$G$252,TRUE)</f>
        <v/>
      </c>
    </row>
    <row r="20">
      <c r="A20" s="4" t="inlineStr">
        <is>
          <t>Tenant isolation</t>
        </is>
      </c>
      <c r="B20" s="4">
        <f>COUNTIF('Test Cases'!$B$2:$B$252,A20)</f>
        <v/>
      </c>
      <c r="C20" s="4">
        <f>COUNTIFS('Test Cases'!$B$2:$B$252,$A20,'Test Cases'!$F$2:$F$252,"Pass")</f>
        <v/>
      </c>
      <c r="D20" s="4">
        <f>COUNTIFS('Test Cases'!$B$2:$B$252,$A20,'Test Cases'!$F$2:$F$252,"Fail")</f>
        <v/>
      </c>
      <c r="E20" s="4">
        <f>COUNTIFS('Test Cases'!$B$2:$B$252,$A20,'Test Cases'!$F$2:$F$252,"Blocked")</f>
        <v/>
      </c>
      <c r="F20" s="4">
        <f>COUNTIFS('Test Cases'!$B$2:$B$252,$A20,'Test Cases'!$F$2:$F$252,"Skipped")</f>
        <v/>
      </c>
      <c r="G20" s="4">
        <f>COUNTIFS('Test Cases'!$B$2:$B$252,$A20,'Test Cases'!$F$2:$F$252,"Not run")</f>
        <v/>
      </c>
      <c r="H20" s="5">
        <f>IF(B20=0,0,C20/B20)</f>
        <v/>
      </c>
      <c r="I20" s="4">
        <f>COUNTIFS('Test Cases'!$B$2:$B$252,$A20,'Test Cases'!$G$2:$G$252,TRUE)</f>
        <v/>
      </c>
    </row>
    <row r="21">
      <c r="A21" s="4" t="inlineStr">
        <is>
          <t>Security</t>
        </is>
      </c>
      <c r="B21" s="4">
        <f>COUNTIF('Test Cases'!$B$2:$B$252,A21)</f>
        <v/>
      </c>
      <c r="C21" s="4">
        <f>COUNTIFS('Test Cases'!$B$2:$B$252,$A21,'Test Cases'!$F$2:$F$252,"Pass")</f>
        <v/>
      </c>
      <c r="D21" s="4">
        <f>COUNTIFS('Test Cases'!$B$2:$B$252,$A21,'Test Cases'!$F$2:$F$252,"Fail")</f>
        <v/>
      </c>
      <c r="E21" s="4">
        <f>COUNTIFS('Test Cases'!$B$2:$B$252,$A21,'Test Cases'!$F$2:$F$252,"Blocked")</f>
        <v/>
      </c>
      <c r="F21" s="4">
        <f>COUNTIFS('Test Cases'!$B$2:$B$252,$A21,'Test Cases'!$F$2:$F$252,"Skipped")</f>
        <v/>
      </c>
      <c r="G21" s="4">
        <f>COUNTIFS('Test Cases'!$B$2:$B$252,$A21,'Test Cases'!$F$2:$F$252,"Not run")</f>
        <v/>
      </c>
      <c r="H21" s="5">
        <f>IF(B21=0,0,C21/B21)</f>
        <v/>
      </c>
      <c r="I21" s="4">
        <f>COUNTIFS('Test Cases'!$B$2:$B$252,$A21,'Test Cases'!$G$2:$G$252,TRUE)</f>
        <v/>
      </c>
    </row>
    <row r="22">
      <c r="A22" s="4" t="inlineStr">
        <is>
          <t>Non-functional</t>
        </is>
      </c>
      <c r="B22" s="4">
        <f>COUNTIF('Test Cases'!$B$2:$B$252,A22)</f>
        <v/>
      </c>
      <c r="C22" s="4">
        <f>COUNTIFS('Test Cases'!$B$2:$B$252,$A22,'Test Cases'!$F$2:$F$252,"Pass")</f>
        <v/>
      </c>
      <c r="D22" s="4">
        <f>COUNTIFS('Test Cases'!$B$2:$B$252,$A22,'Test Cases'!$F$2:$F$252,"Fail")</f>
        <v/>
      </c>
      <c r="E22" s="4">
        <f>COUNTIFS('Test Cases'!$B$2:$B$252,$A22,'Test Cases'!$F$2:$F$252,"Blocked")</f>
        <v/>
      </c>
      <c r="F22" s="4">
        <f>COUNTIFS('Test Cases'!$B$2:$B$252,$A22,'Test Cases'!$F$2:$F$252,"Skipped")</f>
        <v/>
      </c>
      <c r="G22" s="4">
        <f>COUNTIFS('Test Cases'!$B$2:$B$252,$A22,'Test Cases'!$F$2:$F$252,"Not run")</f>
        <v/>
      </c>
      <c r="H22" s="5">
        <f>IF(B22=0,0,C22/B22)</f>
        <v/>
      </c>
      <c r="I22" s="4">
        <f>COUNTIFS('Test Cases'!$B$2:$B$252,$A22,'Test Cases'!$G$2:$G$252,TRUE)</f>
        <v/>
      </c>
    </row>
    <row r="23">
      <c r="A23" s="6" t="inlineStr">
        <is>
          <t>TOTAL</t>
        </is>
      </c>
      <c r="B23" s="6">
        <f>SUM(B5:B22)</f>
        <v/>
      </c>
      <c r="C23" s="6">
        <f>SUM(C5:C22)</f>
        <v/>
      </c>
      <c r="D23" s="6">
        <f>SUM(D5:D22)</f>
        <v/>
      </c>
      <c r="E23" s="6">
        <f>SUM(E5:E22)</f>
        <v/>
      </c>
      <c r="F23" s="6">
        <f>SUM(F5:F22)</f>
        <v/>
      </c>
      <c r="G23" s="6">
        <f>SUM(G5:G22)</f>
        <v/>
      </c>
      <c r="H23" s="7">
        <f>IF(B23=0,0,C23/B23)</f>
        <v/>
      </c>
      <c r="I23" s="6">
        <f>SUM(I5:I22)</f>
        <v/>
      </c>
    </row>
    <row r="26">
      <c r="A26" s="8" t="inlineStr">
        <is>
          <t>Overall readiness</t>
        </is>
      </c>
    </row>
    <row r="27">
      <c r="A27" t="inlineStr">
        <is>
          <t>Total cases</t>
        </is>
      </c>
      <c r="B27">
        <f>B23</f>
        <v/>
      </c>
    </row>
    <row r="28">
      <c r="A28" t="inlineStr">
        <is>
          <t>Passed</t>
        </is>
      </c>
      <c r="B28">
        <f>C23</f>
        <v/>
      </c>
    </row>
    <row r="29">
      <c r="A29" t="inlineStr">
        <is>
          <t>Failed (open defects)</t>
        </is>
      </c>
      <c r="B29">
        <f>D23</f>
        <v/>
      </c>
    </row>
    <row r="30">
      <c r="A30" t="inlineStr">
        <is>
          <t>Not yet run</t>
        </is>
      </c>
      <c r="B30">
        <f>G23</f>
        <v/>
      </c>
    </row>
    <row r="31">
      <c r="A31" t="inlineStr">
        <is>
          <t>Demo ready?</t>
        </is>
      </c>
      <c r="B31">
        <f>IF(AND(D23=0,G23=0,B23&gt;0),"YES — all cases passed",IF(COUNTIFS('Test Cases'!$B$2:$B$252,"ISO*")&gt;0,IF(COUNTIFS('Test Cases'!$B$2:$B$252,"ISO*",'Test Cases'!$F$2:$F$252,"Fail")&gt;0,"NO — tenant isolation failure (P0)","NOT YET — "&amp;(D23+G23)&amp;" open"),"NOT YET"))</f>
        <v/>
      </c>
    </row>
    <row r="32">
      <c r="A32" s="9" t="inlineStr">
        <is>
          <t>Isolation (ISO) failure is a P0 — stop the demo until fixed.</t>
        </is>
      </c>
    </row>
  </sheetData>
  <conditionalFormatting sqref="D5:D22">
    <cfRule type="cellIs" priority="1" operator="greaterThan" dxfId="0">
      <formula>0</formula>
    </cfRule>
  </conditionalFormatting>
  <conditionalFormatting sqref="C5:C22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60" customWidth="1" min="4" max="4"/>
    <col width="55" customWidth="1" min="5" max="5"/>
    <col width="14" customWidth="1" min="6" max="6"/>
    <col width="11" customWidth="1" min="7" max="7"/>
    <col width="16" customWidth="1" min="8" max="8"/>
    <col width="14" customWidth="1" min="9" max="9"/>
    <col width="50" customWidth="1" min="10" max="10"/>
    <col width="14" customWidth="1" min="11" max="11"/>
  </cols>
  <sheetData>
    <row r="1" ht="30" customHeight="1">
      <c r="A1" s="10" t="inlineStr">
        <is>
          <t>Case ID</t>
        </is>
      </c>
      <c r="B1" s="10" t="inlineStr">
        <is>
          <t>Suite</t>
        </is>
      </c>
      <c r="C1" s="10" t="inlineStr">
        <is>
          <t>Section</t>
        </is>
      </c>
      <c r="D1" s="10" t="inlineStr">
        <is>
          <t>Test steps</t>
        </is>
      </c>
      <c r="E1" s="10" t="inlineStr">
        <is>
          <t>Expected result</t>
        </is>
      </c>
      <c r="F1" s="10" t="inlineStr">
        <is>
          <t>Status</t>
        </is>
      </c>
      <c r="G1" s="10" t="inlineStr">
        <is>
          <t>Done (✔)</t>
        </is>
      </c>
      <c r="H1" s="10" t="inlineStr">
        <is>
          <t>Tester</t>
        </is>
      </c>
      <c r="I1" s="10" t="inlineStr">
        <is>
          <t>Date tested</t>
        </is>
      </c>
      <c r="J1" s="10" t="inlineStr">
        <is>
          <t>Comments / observed behaviour</t>
        </is>
      </c>
      <c r="K1" s="10" t="inlineStr">
        <is>
          <t>Defect ID</t>
        </is>
      </c>
    </row>
    <row r="2">
      <c r="A2" s="11" t="inlineStr">
        <is>
          <t>ENV-01</t>
        </is>
      </c>
      <c r="B2" s="11" t="inlineStr">
        <is>
          <t>Environment &amp; test data</t>
        </is>
      </c>
      <c r="C2" s="11" t="inlineStr">
        <is>
          <t>2. Prerequisites &amp; test data (complete BEFORE any suite)</t>
        </is>
      </c>
      <c r="D2" s="11" t="inlineStr">
        <is>
          <t>Open the **preview** web URL (Vercel) and the API health endpoint `GET /api/health`</t>
        </is>
      </c>
      <c r="E2" s="11" t="inlineStr">
        <is>
          <t>Web loads; health returns OK</t>
        </is>
      </c>
      <c r="F2" s="12" t="inlineStr">
        <is>
          <t>Not run</t>
        </is>
      </c>
      <c r="G2" s="13" t="b">
        <v>0</v>
      </c>
      <c r="H2" s="12" t="inlineStr"/>
      <c r="I2" s="14" t="n"/>
      <c r="J2" s="12" t="inlineStr"/>
      <c r="K2" s="12" t="inlineStr"/>
    </row>
    <row r="3">
      <c r="A3" s="11" t="inlineStr">
        <is>
          <t>ENV-02</t>
        </is>
      </c>
      <c r="B3" s="11" t="inlineStr">
        <is>
          <t>Environment &amp; test data</t>
        </is>
      </c>
      <c r="C3" s="11" t="inlineStr">
        <is>
          <t>2. Prerequisites &amp; test data (complete BEFORE any suite)</t>
        </is>
      </c>
      <c r="D3" s="11" t="inlineStr">
        <is>
          <t>Confirm you are on the **preview box**, not a laptop</t>
        </is>
      </c>
      <c r="E3" s="11" t="inlineStr">
        <is>
          <t>Background workers (email send, malware scan, accrual, attendance finalization, retention) run only on the preview box. On a laptop they are off and the Email log / scan states will not move</t>
        </is>
      </c>
      <c r="F3" s="12" t="inlineStr">
        <is>
          <t>Not run</t>
        </is>
      </c>
      <c r="G3" s="13" t="b">
        <v>0</v>
      </c>
      <c r="H3" s="12" t="inlineStr"/>
      <c r="I3" s="14" t="n"/>
      <c r="J3" s="12" t="inlineStr"/>
      <c r="K3" s="12" t="inlineStr"/>
    </row>
    <row r="4">
      <c r="A4" s="11" t="inlineStr">
        <is>
          <t>ENV-03</t>
        </is>
      </c>
      <c r="B4" s="11" t="inlineStr">
        <is>
          <t>Environment &amp; test data</t>
        </is>
      </c>
      <c r="C4" s="11" t="inlineStr">
        <is>
          <t>2. Prerequisites &amp; test data (complete BEFORE any suite)</t>
        </is>
      </c>
      <c r="D4" s="11" t="inlineStr">
        <is>
          <t>Confirm SES is configured (`SES_FROM_ADDRESS` + credentials) and the sender is verified</t>
        </is>
      </c>
      <c r="E4" s="11" t="inlineStr">
        <is>
          <t>Notification sends move to `SENT`. If unset, every send shows `FAILED — SES_FROM_ADDRESS is unset`. Fix before the demo or tell the client email is not live</t>
        </is>
      </c>
      <c r="F4" s="12" t="inlineStr">
        <is>
          <t>Not run</t>
        </is>
      </c>
      <c r="G4" s="13" t="b">
        <v>0</v>
      </c>
      <c r="H4" s="12" t="inlineStr"/>
      <c r="I4" s="14" t="n"/>
      <c r="J4" s="12" t="inlineStr"/>
      <c r="K4" s="12" t="inlineStr"/>
    </row>
    <row r="5">
      <c r="A5" s="11" t="inlineStr">
        <is>
          <t>ENV-04</t>
        </is>
      </c>
      <c r="B5" s="11" t="inlineStr">
        <is>
          <t>Environment &amp; test data</t>
        </is>
      </c>
      <c r="C5" s="11" t="inlineStr">
        <is>
          <t>2. Prerequisites &amp; test data (complete BEFORE any suite)</t>
        </is>
      </c>
      <c r="D5" s="11" t="inlineStr">
        <is>
          <t>Confirm ClamAV (`clamd`) is running on the preview box</t>
        </is>
      </c>
      <c r="E5" s="11" t="inlineStr">
        <is>
          <t>An EICAR test file is flagged (see DOC-10). Without clamd, uploads stay "pending scan" and cannot be downloaded (fail-closed — correct behaviour, but it looks broken)</t>
        </is>
      </c>
      <c r="F5" s="12" t="inlineStr">
        <is>
          <t>Not run</t>
        </is>
      </c>
      <c r="G5" s="13" t="b">
        <v>0</v>
      </c>
      <c r="H5" s="12" t="inlineStr"/>
      <c r="I5" s="14" t="n"/>
      <c r="J5" s="12" t="inlineStr"/>
      <c r="K5" s="12" t="inlineStr"/>
    </row>
    <row r="6">
      <c r="A6" s="11" t="inlineStr">
        <is>
          <t>ENV-05</t>
        </is>
      </c>
      <c r="B6" s="11" t="inlineStr">
        <is>
          <t>Environment &amp; test data</t>
        </is>
      </c>
      <c r="C6" s="11" t="inlineStr">
        <is>
          <t>2. Prerequisites &amp; test data (complete BEFORE any suite)</t>
        </is>
      </c>
      <c r="D6" s="11" t="inlineStr">
        <is>
          <t>Confirm Redis is up (BullMQ)</t>
        </is>
      </c>
      <c r="E6" s="11" t="inlineStr">
        <is>
          <t>Leave escalation and scheduled jobs can run</t>
        </is>
      </c>
      <c r="F6" s="12" t="inlineStr">
        <is>
          <t>Not run</t>
        </is>
      </c>
      <c r="G6" s="13" t="b">
        <v>0</v>
      </c>
      <c r="H6" s="12" t="inlineStr"/>
      <c r="I6" s="14" t="n"/>
      <c r="J6" s="12" t="inlineStr"/>
      <c r="K6" s="12" t="inlineStr"/>
    </row>
    <row r="7">
      <c r="A7" s="11" t="inlineStr">
        <is>
          <t>ENV-06</t>
        </is>
      </c>
      <c r="B7" s="11" t="inlineStr">
        <is>
          <t>Environment &amp; test data</t>
        </is>
      </c>
      <c r="C7" s="11" t="inlineStr">
        <is>
          <t>2. Prerequisites &amp; test data (complete BEFORE any suite)</t>
        </is>
      </c>
      <c r="D7" s="11" t="inlineStr">
        <is>
          <t>Confirm the platform operator account exists and can sign in to `/platform-admin`</t>
        </is>
      </c>
      <c r="E7" s="11" t="inlineStr">
        <is>
          <t>Operator console loads</t>
        </is>
      </c>
      <c r="F7" s="12" t="inlineStr">
        <is>
          <t>Not run</t>
        </is>
      </c>
      <c r="G7" s="13" t="b">
        <v>0</v>
      </c>
      <c r="H7" s="12" t="inlineStr"/>
      <c r="I7" s="14" t="n"/>
      <c r="J7" s="12" t="inlineStr"/>
      <c r="K7" s="12" t="inlineStr"/>
    </row>
    <row r="8">
      <c r="A8" s="11" t="inlineStr">
        <is>
          <t>ENV-07</t>
        </is>
      </c>
      <c r="B8" s="11" t="inlineStr">
        <is>
          <t>Environment &amp; test data</t>
        </is>
      </c>
      <c r="C8" s="11" t="inlineStr">
        <is>
          <t>2. Prerequisites &amp; test data (complete BEFORE any suite)</t>
        </is>
      </c>
      <c r="D8" s="11" t="inlineStr">
        <is>
          <t>Clear browser cache / use a private window per persona</t>
        </is>
      </c>
      <c r="E8" s="11" t="inlineStr">
        <is>
          <t>Avoids stale session tokens when switching personas</t>
        </is>
      </c>
      <c r="F8" s="12" t="inlineStr">
        <is>
          <t>Not run</t>
        </is>
      </c>
      <c r="G8" s="13" t="b">
        <v>0</v>
      </c>
      <c r="H8" s="12" t="inlineStr"/>
      <c r="I8" s="14" t="n"/>
      <c r="J8" s="12" t="inlineStr"/>
      <c r="K8" s="12" t="inlineStr"/>
    </row>
    <row r="9">
      <c r="A9" s="11" t="inlineStr">
        <is>
          <t>LAND-01</t>
        </is>
      </c>
      <c r="B9" s="11" t="inlineStr">
        <is>
          <t>Landing &amp; contact</t>
        </is>
      </c>
      <c r="C9" s="11" t="inlineStr">
        <is>
          <t>3. Suite LAND — Public landing page &amp; contact form</t>
        </is>
      </c>
      <c r="D9" s="11" t="inlineStr">
        <is>
          <t>Open the root URL signed out</t>
        </is>
      </c>
      <c r="E9" s="11" t="inlineStr">
        <is>
          <t>Public landing page renders; no dashboard; no sidebar</t>
        </is>
      </c>
      <c r="F9" s="12" t="inlineStr">
        <is>
          <t>Not run</t>
        </is>
      </c>
      <c r="G9" s="13" t="b">
        <v>0</v>
      </c>
      <c r="H9" s="12" t="inlineStr"/>
      <c r="I9" s="14" t="n"/>
      <c r="J9" s="12" t="inlineStr"/>
      <c r="K9" s="12" t="inlineStr"/>
    </row>
    <row r="10">
      <c r="A10" s="11" t="inlineStr">
        <is>
          <t>LAND-02</t>
        </is>
      </c>
      <c r="B10" s="11" t="inlineStr">
        <is>
          <t>Landing &amp; contact</t>
        </is>
      </c>
      <c r="C10" s="11" t="inlineStr">
        <is>
          <t>3. Suite LAND — Public landing page &amp; contact form</t>
        </is>
      </c>
      <c r="D10" s="11" t="inlineStr">
        <is>
          <t>Scroll to the `#contact` section; check layout on a phone-width viewport (≈390 px)</t>
        </is>
      </c>
      <c r="E10" s="11" t="inlineStr">
        <is>
          <t>Form is usable; no horizontal scrolling</t>
        </is>
      </c>
      <c r="F10" s="12" t="inlineStr">
        <is>
          <t>Not run</t>
        </is>
      </c>
      <c r="G10" s="13" t="b">
        <v>0</v>
      </c>
      <c r="H10" s="12" t="inlineStr"/>
      <c r="I10" s="14" t="n"/>
      <c r="J10" s="12" t="inlineStr"/>
      <c r="K10" s="12" t="inlineStr"/>
    </row>
    <row r="11">
      <c r="A11" s="11" t="inlineStr">
        <is>
          <t>LAND-03</t>
        </is>
      </c>
      <c r="B11" s="11" t="inlineStr">
        <is>
          <t>Landing &amp; contact</t>
        </is>
      </c>
      <c r="C11" s="11" t="inlineStr">
        <is>
          <t>3. Suite LAND — Public landing page &amp; contact form</t>
        </is>
      </c>
      <c r="D11" s="11" t="inlineStr">
        <is>
          <t>Submit the contact form with all required fields blank</t>
        </is>
      </c>
      <c r="E11" s="11" t="inlineStr">
        <is>
          <t>Client-side validation messages; nothing sent</t>
        </is>
      </c>
      <c r="F11" s="12" t="inlineStr">
        <is>
          <t>Not run</t>
        </is>
      </c>
      <c r="G11" s="13" t="b">
        <v>0</v>
      </c>
      <c r="H11" s="12" t="inlineStr"/>
      <c r="I11" s="14" t="n"/>
      <c r="J11" s="12" t="inlineStr"/>
      <c r="K11" s="12" t="inlineStr"/>
    </row>
    <row r="12">
      <c r="A12" s="11" t="inlineStr">
        <is>
          <t>LAND-04</t>
        </is>
      </c>
      <c r="B12" s="11" t="inlineStr">
        <is>
          <t>Landing &amp; contact</t>
        </is>
      </c>
      <c r="C12" s="11" t="inlineStr">
        <is>
          <t>3. Suite LAND — Public landing page &amp; contact form</t>
        </is>
      </c>
      <c r="D12" s="11" t="inlineStr">
        <is>
          <t>Submit a valid enquiry (name, company, work email, employee count, message)</t>
        </is>
      </c>
      <c r="E12" s="11" t="inlineStr">
        <is>
          <t>Success confirmation shown; a row is created (verify in PA-17 Leads)</t>
        </is>
      </c>
      <c r="F12" s="12" t="inlineStr">
        <is>
          <t>Not run</t>
        </is>
      </c>
      <c r="G12" s="13" t="b">
        <v>0</v>
      </c>
      <c r="H12" s="12" t="inlineStr"/>
      <c r="I12" s="14" t="n"/>
      <c r="J12" s="12" t="inlineStr"/>
      <c r="K12" s="12" t="inlineStr"/>
    </row>
    <row r="13">
      <c r="A13" s="11" t="inlineStr">
        <is>
          <t>LAND-05</t>
        </is>
      </c>
      <c r="B13" s="11" t="inlineStr">
        <is>
          <t>Landing &amp; contact</t>
        </is>
      </c>
      <c r="C13" s="11" t="inlineStr">
        <is>
          <t>3. Suite LAND — Public landing page &amp; contact form</t>
        </is>
      </c>
      <c r="D13" s="11" t="inlineStr">
        <is>
          <t>Submit 6+ times rapidly from the same client</t>
        </is>
      </c>
      <c r="E13" s="11" t="inlineStr">
        <is>
          <t>Rate limiter returns a friendly error after the limit; no crash</t>
        </is>
      </c>
      <c r="F13" s="12" t="inlineStr">
        <is>
          <t>Not run</t>
        </is>
      </c>
      <c r="G13" s="13" t="b">
        <v>0</v>
      </c>
      <c r="H13" s="12" t="inlineStr"/>
      <c r="I13" s="14" t="n"/>
      <c r="J13" s="12" t="inlineStr"/>
      <c r="K13" s="12" t="inlineStr"/>
    </row>
    <row r="14">
      <c r="A14" s="11" t="inlineStr">
        <is>
          <t>LAND-06</t>
        </is>
      </c>
      <c r="B14" s="11" t="inlineStr">
        <is>
          <t>Landing &amp; contact</t>
        </is>
      </c>
      <c r="C14" s="11" t="inlineStr">
        <is>
          <t>3. Suite LAND — Public landing page &amp; contact form</t>
        </is>
      </c>
      <c r="D14" s="11" t="inlineStr">
        <is>
          <t>Submit an enquiry while SES is unconfigured</t>
        </is>
      </c>
      <c r="E14" s="11" t="inlineStr">
        <is>
          <t>Lead still appears in Leads (the lead is saved even if the notify email fails)</t>
        </is>
      </c>
      <c r="F14" s="12" t="inlineStr">
        <is>
          <t>Not run</t>
        </is>
      </c>
      <c r="G14" s="13" t="b">
        <v>0</v>
      </c>
      <c r="H14" s="12" t="inlineStr"/>
      <c r="I14" s="14" t="n"/>
      <c r="J14" s="12" t="inlineStr"/>
      <c r="K14" s="12" t="inlineStr"/>
    </row>
    <row r="15">
      <c r="A15" s="11" t="inlineStr">
        <is>
          <t>AUTH-01</t>
        </is>
      </c>
      <c r="B15" s="11" t="inlineStr">
        <is>
          <t>Sign-in &amp; session</t>
        </is>
      </c>
      <c r="C15" s="11" t="inlineStr">
        <is>
          <t>4. Suite AUTH — Sign-in, session &amp; password reset</t>
        </is>
      </c>
      <c r="D15" s="11" t="inlineStr">
        <is>
          <t>Sign in as **Company Admin** with correct credentials</t>
        </is>
      </c>
      <c r="E15" s="11" t="inlineStr">
        <is>
          <t>Lands on the dashboard; user name and role shown in the header/sidebar</t>
        </is>
      </c>
      <c r="F15" s="12" t="inlineStr">
        <is>
          <t>Not run</t>
        </is>
      </c>
      <c r="G15" s="13" t="b">
        <v>0</v>
      </c>
      <c r="H15" s="12" t="inlineStr"/>
      <c r="I15" s="14" t="n"/>
      <c r="J15" s="12" t="inlineStr"/>
      <c r="K15" s="12" t="inlineStr"/>
    </row>
    <row r="16">
      <c r="A16" s="11" t="inlineStr">
        <is>
          <t>AUTH-02</t>
        </is>
      </c>
      <c r="B16" s="11" t="inlineStr">
        <is>
          <t>Sign-in &amp; session</t>
        </is>
      </c>
      <c r="C16" s="11" t="inlineStr">
        <is>
          <t>4. Suite AUTH — Sign-in, session &amp; password reset</t>
        </is>
      </c>
      <c r="D16" s="11" t="inlineStr">
        <is>
          <t>Sign in with a correct email and **wrong password**</t>
        </is>
      </c>
      <c r="E16" s="11" t="inlineStr">
        <is>
          <t>Friendly "invalid email or password" message; no session created</t>
        </is>
      </c>
      <c r="F16" s="12" t="inlineStr">
        <is>
          <t>Not run</t>
        </is>
      </c>
      <c r="G16" s="13" t="b">
        <v>0</v>
      </c>
      <c r="H16" s="12" t="inlineStr"/>
      <c r="I16" s="14" t="n"/>
      <c r="J16" s="12" t="inlineStr"/>
      <c r="K16" s="12" t="inlineStr"/>
    </row>
    <row r="17">
      <c r="A17" s="11" t="inlineStr">
        <is>
          <t>AUTH-03</t>
        </is>
      </c>
      <c r="B17" s="11" t="inlineStr">
        <is>
          <t>Sign-in &amp; session</t>
        </is>
      </c>
      <c r="C17" s="11" t="inlineStr">
        <is>
          <t>4. Suite AUTH — Sign-in, session &amp; password reset</t>
        </is>
      </c>
      <c r="D17" s="11" t="inlineStr">
        <is>
          <t>Sign in with an **unknown email**</t>
        </is>
      </c>
      <c r="E17" s="11" t="inlineStr">
        <is>
          <t>Same generic message as AUTH-02 (no account enumeration)</t>
        </is>
      </c>
      <c r="F17" s="12" t="inlineStr">
        <is>
          <t>Not run</t>
        </is>
      </c>
      <c r="G17" s="13" t="b">
        <v>0</v>
      </c>
      <c r="H17" s="12" t="inlineStr"/>
      <c r="I17" s="14" t="n"/>
      <c r="J17" s="12" t="inlineStr"/>
      <c r="K17" s="12" t="inlineStr"/>
    </row>
    <row r="18">
      <c r="A18" s="11" t="inlineStr">
        <is>
          <t>AUTH-04</t>
        </is>
      </c>
      <c r="B18" s="11" t="inlineStr">
        <is>
          <t>Sign-in &amp; session</t>
        </is>
      </c>
      <c r="C18" s="11" t="inlineStr">
        <is>
          <t>4. Suite AUTH — Sign-in, session &amp; password reset</t>
        </is>
      </c>
      <c r="D18" s="11" t="inlineStr">
        <is>
          <t>Open a protected URL (e.g. `/employees`) while signed out</t>
        </is>
      </c>
      <c r="E18" s="11" t="inlineStr">
        <is>
          <t>Redirected to `/login`; after sign-in, returned to the intended page or the dashboard</t>
        </is>
      </c>
      <c r="F18" s="12" t="inlineStr">
        <is>
          <t>Not run</t>
        </is>
      </c>
      <c r="G18" s="13" t="b">
        <v>0</v>
      </c>
      <c r="H18" s="12" t="inlineStr"/>
      <c r="I18" s="14" t="n"/>
      <c r="J18" s="12" t="inlineStr"/>
      <c r="K18" s="12" t="inlineStr"/>
    </row>
    <row r="19">
      <c r="A19" s="11" t="inlineStr">
        <is>
          <t>AUTH-05</t>
        </is>
      </c>
      <c r="B19" s="11" t="inlineStr">
        <is>
          <t>Sign-in &amp; session</t>
        </is>
      </c>
      <c r="C19" s="11" t="inlineStr">
        <is>
          <t>4. Suite AUTH — Sign-in, session &amp; password reset</t>
        </is>
      </c>
      <c r="D19" s="11" t="inlineStr">
        <is>
          <t>Refresh the browser after signing in</t>
        </is>
      </c>
      <c r="E19" s="11" t="inlineStr">
        <is>
          <t>Session persists; no re-login required</t>
        </is>
      </c>
      <c r="F19" s="12" t="inlineStr">
        <is>
          <t>Not run</t>
        </is>
      </c>
      <c r="G19" s="13" t="b">
        <v>0</v>
      </c>
      <c r="H19" s="12" t="inlineStr"/>
      <c r="I19" s="14" t="n"/>
      <c r="J19" s="12" t="inlineStr"/>
      <c r="K19" s="12" t="inlineStr"/>
    </row>
    <row r="20">
      <c r="A20" s="11" t="inlineStr">
        <is>
          <t>AUTH-06</t>
        </is>
      </c>
      <c r="B20" s="11" t="inlineStr">
        <is>
          <t>Sign-in &amp; session</t>
        </is>
      </c>
      <c r="C20" s="11" t="inlineStr">
        <is>
          <t>4. Suite AUTH — Sign-in, session &amp; password reset</t>
        </is>
      </c>
      <c r="D20" s="11" t="inlineStr">
        <is>
          <t>Sign out via the user menu</t>
        </is>
      </c>
      <c r="E20" s="11" t="inlineStr">
        <is>
          <t>Redirected to login; pressing Back does not show protected data</t>
        </is>
      </c>
      <c r="F20" s="12" t="inlineStr">
        <is>
          <t>Not run</t>
        </is>
      </c>
      <c r="G20" s="13" t="b">
        <v>0</v>
      </c>
      <c r="H20" s="12" t="inlineStr"/>
      <c r="I20" s="14" t="n"/>
      <c r="J20" s="12" t="inlineStr"/>
      <c r="K20" s="12" t="inlineStr"/>
    </row>
    <row r="21">
      <c r="A21" s="11" t="inlineStr">
        <is>
          <t>AUTH-07</t>
        </is>
      </c>
      <c r="B21" s="11" t="inlineStr">
        <is>
          <t>Sign-in &amp; session</t>
        </is>
      </c>
      <c r="C21" s="11" t="inlineStr">
        <is>
          <t>4. Suite AUTH — Sign-in, session &amp; password reset</t>
        </is>
      </c>
      <c r="D21" s="11" t="inlineStr">
        <is>
          <t>Use "Forgot password?" with a **registered** email</t>
        </is>
      </c>
      <c r="E21" s="11" t="inlineStr">
        <is>
          <t>Generic success message shown; a branded reset email arrives (SES) with a working link</t>
        </is>
      </c>
      <c r="F21" s="12" t="inlineStr">
        <is>
          <t>Not run</t>
        </is>
      </c>
      <c r="G21" s="13" t="b">
        <v>0</v>
      </c>
      <c r="H21" s="12" t="inlineStr"/>
      <c r="I21" s="14" t="n"/>
      <c r="J21" s="12" t="inlineStr"/>
      <c r="K21" s="12" t="inlineStr"/>
    </row>
    <row r="22">
      <c r="A22" s="11" t="inlineStr">
        <is>
          <t>AUTH-08</t>
        </is>
      </c>
      <c r="B22" s="11" t="inlineStr">
        <is>
          <t>Sign-in &amp; session</t>
        </is>
      </c>
      <c r="C22" s="11" t="inlineStr">
        <is>
          <t>4. Suite AUTH — Sign-in, session &amp; password reset</t>
        </is>
      </c>
      <c r="D22" s="11" t="inlineStr">
        <is>
          <t>Use "Forgot password?" with an **unregistered** email</t>
        </is>
      </c>
      <c r="E22" s="11" t="inlineStr">
        <is>
          <t>Same generic success message as AUTH-07 (non-enumerating); no email sent</t>
        </is>
      </c>
      <c r="F22" s="12" t="inlineStr">
        <is>
          <t>Not run</t>
        </is>
      </c>
      <c r="G22" s="13" t="b">
        <v>0</v>
      </c>
      <c r="H22" s="12" t="inlineStr"/>
      <c r="I22" s="14" t="n"/>
      <c r="J22" s="12" t="inlineStr"/>
      <c r="K22" s="12" t="inlineStr"/>
    </row>
    <row r="23">
      <c r="A23" s="11" t="inlineStr">
        <is>
          <t>AUTH-09</t>
        </is>
      </c>
      <c r="B23" s="11" t="inlineStr">
        <is>
          <t>Sign-in &amp; session</t>
        </is>
      </c>
      <c r="C23" s="11" t="inlineStr">
        <is>
          <t>4. Suite AUTH — Sign-in, session &amp; password reset</t>
        </is>
      </c>
      <c r="D23" s="11" t="inlineStr">
        <is>
          <t>Open the reset link, set a new password, sign in with it</t>
        </is>
      </c>
      <c r="E23" s="11" t="inlineStr">
        <is>
          <t>Sign-in works with the new password; old password fails</t>
        </is>
      </c>
      <c r="F23" s="12" t="inlineStr">
        <is>
          <t>Not run</t>
        </is>
      </c>
      <c r="G23" s="13" t="b">
        <v>0</v>
      </c>
      <c r="H23" s="12" t="inlineStr"/>
      <c r="I23" s="14" t="n"/>
      <c r="J23" s="12" t="inlineStr"/>
      <c r="K23" s="12" t="inlineStr"/>
    </row>
    <row r="24">
      <c r="A24" s="11" t="inlineStr">
        <is>
          <t>AUTH-10</t>
        </is>
      </c>
      <c r="B24" s="11" t="inlineStr">
        <is>
          <t>Sign-in &amp; session</t>
        </is>
      </c>
      <c r="C24" s="11" t="inlineStr">
        <is>
          <t>4. Suite AUTH — Sign-in, session &amp; password reset</t>
        </is>
      </c>
      <c r="D24" s="11" t="inlineStr">
        <is>
          <t>Sign in as an **inactive** user (deactivated in ACC-08)</t>
        </is>
      </c>
      <c r="E24" s="11" t="inlineStr">
        <is>
          <t>Sign-in blocked with an access-denied message</t>
        </is>
      </c>
      <c r="F24" s="12" t="inlineStr">
        <is>
          <t>Not run</t>
        </is>
      </c>
      <c r="G24" s="13" t="b">
        <v>0</v>
      </c>
      <c r="H24" s="12" t="inlineStr"/>
      <c r="I24" s="14" t="n"/>
      <c r="J24" s="12" t="inlineStr"/>
      <c r="K24" s="12" t="inlineStr"/>
    </row>
    <row r="25">
      <c r="A25" s="11" t="inlineStr">
        <is>
          <t>AUTH-11</t>
        </is>
      </c>
      <c r="B25" s="11" t="inlineStr">
        <is>
          <t>Sign-in &amp; session</t>
        </is>
      </c>
      <c r="C25" s="11" t="inlineStr">
        <is>
          <t>4. Suite AUTH — Sign-in, session &amp; password reset</t>
        </is>
      </c>
      <c r="D25" s="11" t="inlineStr">
        <is>
          <t>Sign in to a **suspended tenant** (suspended in PA-10)</t>
        </is>
      </c>
      <c r="E25" s="11" t="inlineStr">
        <is>
          <t>Blocked; message says the workspace is suspended</t>
        </is>
      </c>
      <c r="F25" s="12" t="inlineStr">
        <is>
          <t>Not run</t>
        </is>
      </c>
      <c r="G25" s="13" t="b">
        <v>0</v>
      </c>
      <c r="H25" s="12" t="inlineStr"/>
      <c r="I25" s="14" t="n"/>
      <c r="J25" s="12" t="inlineStr"/>
      <c r="K25" s="12" t="inlineStr"/>
    </row>
    <row r="26">
      <c r="A26" s="11" t="inlineStr">
        <is>
          <t>AUTH-12</t>
        </is>
      </c>
      <c r="B26" s="11" t="inlineStr">
        <is>
          <t>Sign-in &amp; session</t>
        </is>
      </c>
      <c r="C26" s="11" t="inlineStr">
        <is>
          <t>4. Suite AUTH — Sign-in, session &amp; password reset</t>
        </is>
      </c>
      <c r="D26" s="11" t="inlineStr">
        <is>
          <t>Sign in as a tenant user at the **platform admin** login (`/platform-admin`)</t>
        </is>
      </c>
      <c r="E26" s="11" t="inlineStr">
        <is>
          <t>Refused — tenant users cannot open the operator console</t>
        </is>
      </c>
      <c r="F26" s="12" t="inlineStr">
        <is>
          <t>Not run</t>
        </is>
      </c>
      <c r="G26" s="13" t="b">
        <v>0</v>
      </c>
      <c r="H26" s="12" t="inlineStr"/>
      <c r="I26" s="14" t="n"/>
      <c r="J26" s="12" t="inlineStr"/>
      <c r="K26" s="12" t="inlineStr"/>
    </row>
    <row r="27">
      <c r="A27" s="11" t="inlineStr">
        <is>
          <t>PA-01</t>
        </is>
      </c>
      <c r="B27" s="11" t="inlineStr">
        <is>
          <t>Platform Admin console</t>
        </is>
      </c>
      <c r="C27" s="11" t="inlineStr">
        <is>
          <t>5. Suite PA — Platform Admin console (operator)</t>
        </is>
      </c>
      <c r="D27" s="11" t="inlineStr">
        <is>
          <t>Sign in as the operator</t>
        </is>
      </c>
      <c r="E27" s="11" t="inlineStr">
        <is>
          <t>Operator console loads with navigation: Tenants, Plans, Leads, Settings, Audit</t>
        </is>
      </c>
      <c r="F27" s="12" t="inlineStr">
        <is>
          <t>Not run</t>
        </is>
      </c>
      <c r="G27" s="13" t="b">
        <v>0</v>
      </c>
      <c r="H27" s="12" t="inlineStr"/>
      <c r="I27" s="14" t="n"/>
      <c r="J27" s="12" t="inlineStr"/>
      <c r="K27" s="12" t="inlineStr"/>
    </row>
    <row r="28">
      <c r="A28" s="11" t="inlineStr">
        <is>
          <t>PA-02</t>
        </is>
      </c>
      <c r="B28" s="11" t="inlineStr">
        <is>
          <t>Platform Admin console</t>
        </is>
      </c>
      <c r="C28" s="11" t="inlineStr">
        <is>
          <t>5. Suite PA — Platform Admin console (operator)</t>
        </is>
      </c>
      <c r="D28" s="11" t="inlineStr">
        <is>
          <t>Open **Tenants**</t>
        </is>
      </c>
      <c r="E28" s="11" t="inlineStr">
        <is>
          <t>List shows existing tenants with name, plan, status, employee count</t>
        </is>
      </c>
      <c r="F28" s="12" t="inlineStr">
        <is>
          <t>Not run</t>
        </is>
      </c>
      <c r="G28" s="13" t="b">
        <v>0</v>
      </c>
      <c r="H28" s="12" t="inlineStr"/>
      <c r="I28" s="14" t="n"/>
      <c r="J28" s="12" t="inlineStr"/>
      <c r="K28" s="12" t="inlineStr"/>
    </row>
    <row r="29">
      <c r="A29" s="11" t="inlineStr">
        <is>
          <t>PA-03</t>
        </is>
      </c>
      <c r="B29" s="11" t="inlineStr">
        <is>
          <t>Platform Admin console</t>
        </is>
      </c>
      <c r="C29" s="11" t="inlineStr">
        <is>
          <t>5. Suite PA — Platform Admin console (operator)</t>
        </is>
      </c>
      <c r="D29" s="11" t="inlineStr">
        <is>
          <t>Filter / search the tenant list (if available) by name or status</t>
        </is>
      </c>
      <c r="E29" s="11" t="inlineStr">
        <is>
          <t>List narrows correctly</t>
        </is>
      </c>
      <c r="F29" s="12" t="inlineStr">
        <is>
          <t>Not run</t>
        </is>
      </c>
      <c r="G29" s="13" t="b">
        <v>0</v>
      </c>
      <c r="H29" s="12" t="inlineStr"/>
      <c r="I29" s="14" t="n"/>
      <c r="J29" s="12" t="inlineStr"/>
      <c r="K29" s="12" t="inlineStr"/>
    </row>
    <row r="30">
      <c r="A30" s="11" t="inlineStr">
        <is>
          <t>PA-04</t>
        </is>
      </c>
      <c r="B30" s="11" t="inlineStr">
        <is>
          <t>Platform Admin console</t>
        </is>
      </c>
      <c r="C30" s="11" t="inlineStr">
        <is>
          <t>5. Suite PA — Platform Admin console (operator)</t>
        </is>
      </c>
      <c r="D30" s="11" t="inlineStr">
        <is>
          <t>Open **Plans**</t>
        </is>
      </c>
      <c r="E30" s="11" t="inlineStr">
        <is>
          <t>Plans listed (STARTER / GROWTH / ENTERPRISE) with their included modules and features</t>
        </is>
      </c>
      <c r="F30" s="12" t="inlineStr">
        <is>
          <t>Not run</t>
        </is>
      </c>
      <c r="G30" s="13" t="b">
        <v>0</v>
      </c>
      <c r="H30" s="12" t="inlineStr"/>
      <c r="I30" s="14" t="n"/>
      <c r="J30" s="12" t="inlineStr"/>
      <c r="K30" s="12" t="inlineStr"/>
    </row>
    <row r="31">
      <c r="A31" s="11" t="inlineStr">
        <is>
          <t>PA-05</t>
        </is>
      </c>
      <c r="B31" s="11" t="inlineStr">
        <is>
          <t>Platform Admin console</t>
        </is>
      </c>
      <c r="C31" s="11" t="inlineStr">
        <is>
          <t>5. Suite PA — Platform Admin console (operator)</t>
        </is>
      </c>
      <c r="D31" s="11" t="inlineStr">
        <is>
          <t>Click **New tenant** (`/platform-admin/tenants/new`). Enter Acme Demo Pvt Ltd, subdomain `acme-demo`, plan GROWTH, Company Admin email, submit</t>
        </is>
      </c>
      <c r="E31" s="11" t="inlineStr">
        <is>
          <t>Tenant created; admin invite email sent (or logged as `FAILED` if SES is unset); tenant appears in the list</t>
        </is>
      </c>
      <c r="F31" s="12" t="inlineStr">
        <is>
          <t>Not run</t>
        </is>
      </c>
      <c r="G31" s="13" t="b">
        <v>0</v>
      </c>
      <c r="H31" s="12" t="inlineStr"/>
      <c r="I31" s="14" t="n"/>
      <c r="J31" s="12" t="inlineStr"/>
      <c r="K31" s="12" t="inlineStr"/>
    </row>
    <row r="32">
      <c r="A32" s="11" t="inlineStr">
        <is>
          <t>PA-06</t>
        </is>
      </c>
      <c r="B32" s="11" t="inlineStr">
        <is>
          <t>Platform Admin console</t>
        </is>
      </c>
      <c r="C32" s="11" t="inlineStr">
        <is>
          <t>5. Suite PA — Platform Admin console (operator)</t>
        </is>
      </c>
      <c r="D32" s="11" t="inlineStr">
        <is>
          <t>Try to create a tenant with a **duplicate subdomain**</t>
        </is>
      </c>
      <c r="E32" s="11" t="inlineStr">
        <is>
          <t>Rejected with a clear validation error; no second tenant created</t>
        </is>
      </c>
      <c r="F32" s="12" t="inlineStr">
        <is>
          <t>Not run</t>
        </is>
      </c>
      <c r="G32" s="13" t="b">
        <v>0</v>
      </c>
      <c r="H32" s="12" t="inlineStr"/>
      <c r="I32" s="14" t="n"/>
      <c r="J32" s="12" t="inlineStr"/>
      <c r="K32" s="12" t="inlineStr"/>
    </row>
    <row r="33">
      <c r="A33" s="11" t="inlineStr">
        <is>
          <t>PA-07</t>
        </is>
      </c>
      <c r="B33" s="11" t="inlineStr">
        <is>
          <t>Platform Admin console</t>
        </is>
      </c>
      <c r="C33" s="11" t="inlineStr">
        <is>
          <t>5. Suite PA — Platform Admin console (operator)</t>
        </is>
      </c>
      <c r="D33" s="11" t="inlineStr">
        <is>
          <t>Try to create a tenant with an **invalid subdomain** (spaces, uppercase, symbols)</t>
        </is>
      </c>
      <c r="E33" s="11" t="inlineStr">
        <is>
          <t>Rejected with a validation error</t>
        </is>
      </c>
      <c r="F33" s="12" t="inlineStr">
        <is>
          <t>Not run</t>
        </is>
      </c>
      <c r="G33" s="13" t="b">
        <v>0</v>
      </c>
      <c r="H33" s="12" t="inlineStr"/>
      <c r="I33" s="14" t="n"/>
      <c r="J33" s="12" t="inlineStr"/>
      <c r="K33" s="12" t="inlineStr"/>
    </row>
    <row r="34">
      <c r="A34" s="11" t="inlineStr">
        <is>
          <t>PA-08</t>
        </is>
      </c>
      <c r="B34" s="11" t="inlineStr">
        <is>
          <t>Platform Admin console</t>
        </is>
      </c>
      <c r="C34" s="11" t="inlineStr">
        <is>
          <t>5. Suite PA — Platform Admin console (operator)</t>
        </is>
      </c>
      <c r="D34" s="11" t="inlineStr">
        <is>
          <t>Open the new tenant's detail page</t>
        </is>
      </c>
      <c r="E34" s="11" t="inlineStr">
        <is>
          <t>Shows metadata, plan, subscription, renewal date, headcount, break-glass section</t>
        </is>
      </c>
      <c r="F34" s="12" t="inlineStr">
        <is>
          <t>Not run</t>
        </is>
      </c>
      <c r="G34" s="13" t="b">
        <v>0</v>
      </c>
      <c r="H34" s="12" t="inlineStr"/>
      <c r="I34" s="14" t="n"/>
      <c r="J34" s="12" t="inlineStr"/>
      <c r="K34" s="12" t="inlineStr"/>
    </row>
    <row r="35">
      <c r="A35" s="11" t="inlineStr">
        <is>
          <t>PA-09</t>
        </is>
      </c>
      <c r="B35" s="11" t="inlineStr">
        <is>
          <t>Platform Admin console</t>
        </is>
      </c>
      <c r="C35" s="11" t="inlineStr">
        <is>
          <t>5. Suite PA — Platform Admin console (operator)</t>
        </is>
      </c>
      <c r="D35" s="11" t="inlineStr">
        <is>
          <t>Change the tenant's **plan** (e.g. GROWTH → ENTERPRISE)</t>
        </is>
      </c>
      <c r="E35" s="11" t="inlineStr">
        <is>
          <t>Saved; detail page updates; entitlements change accordingly</t>
        </is>
      </c>
      <c r="F35" s="12" t="inlineStr">
        <is>
          <t>Not run</t>
        </is>
      </c>
      <c r="G35" s="13" t="b">
        <v>0</v>
      </c>
      <c r="H35" s="12" t="inlineStr"/>
      <c r="I35" s="14" t="n"/>
      <c r="J35" s="12" t="inlineStr"/>
      <c r="K35" s="12" t="inlineStr"/>
    </row>
    <row r="36">
      <c r="A36" s="11" t="inlineStr">
        <is>
          <t>PA-10</t>
        </is>
      </c>
      <c r="B36" s="11" t="inlineStr">
        <is>
          <t>Platform Admin console</t>
        </is>
      </c>
      <c r="C36" s="11" t="inlineStr">
        <is>
          <t>5. Suite PA — Platform Admin console (operator)</t>
        </is>
      </c>
      <c r="D36" s="11" t="inlineStr">
        <is>
          <t>**Suspend** the tenant, then sign in as its user (AUTH-11), then **resume** it</t>
        </is>
      </c>
      <c r="E36" s="11" t="inlineStr">
        <is>
          <t>Suspended: tenant users blocked. Resumed: access returns. Both actions appear in the platform audit log (AUD-08)</t>
        </is>
      </c>
      <c r="F36" s="12" t="inlineStr">
        <is>
          <t>Not run</t>
        </is>
      </c>
      <c r="G36" s="13" t="b">
        <v>0</v>
      </c>
      <c r="H36" s="12" t="inlineStr"/>
      <c r="I36" s="14" t="n"/>
      <c r="J36" s="12" t="inlineStr"/>
      <c r="K36" s="12" t="inlineStr"/>
    </row>
    <row r="37">
      <c r="A37" s="11" t="inlineStr">
        <is>
          <t>PA-11</t>
        </is>
      </c>
      <c r="B37" s="11" t="inlineStr">
        <is>
          <t>Platform Admin console</t>
        </is>
      </c>
      <c r="C37" s="11" t="inlineStr">
        <is>
          <t>5. Suite PA — Platform Admin console (operator)</t>
        </is>
      </c>
      <c r="D37" s="11" t="inlineStr">
        <is>
          <t>Edit the tenant's **pricing**</t>
        </is>
      </c>
      <c r="E37" s="11" t="inlineStr">
        <is>
          <t>Saved and reflected on the detail page</t>
        </is>
      </c>
      <c r="F37" s="12" t="inlineStr">
        <is>
          <t>Not run</t>
        </is>
      </c>
      <c r="G37" s="13" t="b">
        <v>0</v>
      </c>
      <c r="H37" s="12" t="inlineStr"/>
      <c r="I37" s="14" t="n"/>
      <c r="J37" s="12" t="inlineStr"/>
      <c r="K37" s="12" t="inlineStr"/>
    </row>
    <row r="38">
      <c r="A38" s="11" t="inlineStr">
        <is>
          <t>PA-12</t>
        </is>
      </c>
      <c r="B38" s="11" t="inlineStr">
        <is>
          <t>Platform Admin console</t>
        </is>
      </c>
      <c r="C38" s="11" t="inlineStr">
        <is>
          <t>5. Suite PA — Platform Admin console (operator)</t>
        </is>
      </c>
      <c r="D38" s="11" t="inlineStr">
        <is>
          <t>**Refresh headcount** for the tenant</t>
        </is>
      </c>
      <c r="E38" s="11" t="inlineStr">
        <is>
          <t>Employee count updates to the live number; action is logged</t>
        </is>
      </c>
      <c r="F38" s="12" t="inlineStr">
        <is>
          <t>Not run</t>
        </is>
      </c>
      <c r="G38" s="13" t="b">
        <v>0</v>
      </c>
      <c r="H38" s="12" t="inlineStr"/>
      <c r="I38" s="14" t="n"/>
      <c r="J38" s="12" t="inlineStr"/>
      <c r="K38" s="12" t="inlineStr"/>
    </row>
    <row r="39">
      <c r="A39" s="11" t="inlineStr">
        <is>
          <t>PA-13</t>
        </is>
      </c>
      <c r="B39" s="11" t="inlineStr">
        <is>
          <t>Platform Admin console</t>
        </is>
      </c>
      <c r="C39" s="11" t="inlineStr">
        <is>
          <t>5. Suite PA — Platform Admin console (operator)</t>
        </is>
      </c>
      <c r="D39" s="11" t="inlineStr">
        <is>
          <t>**Renew** the subscription</t>
        </is>
      </c>
      <c r="E39" s="11" t="inlineStr">
        <is>
          <t>Renewal date moves forward; action recorded</t>
        </is>
      </c>
      <c r="F39" s="12" t="inlineStr">
        <is>
          <t>Not run</t>
        </is>
      </c>
      <c r="G39" s="13" t="b">
        <v>0</v>
      </c>
      <c r="H39" s="12" t="inlineStr"/>
      <c r="I39" s="14" t="n"/>
      <c r="J39" s="12" t="inlineStr"/>
      <c r="K39" s="12" t="inlineStr"/>
    </row>
    <row r="40">
      <c r="A40" s="11" t="inlineStr">
        <is>
          <t>PA-14</t>
        </is>
      </c>
      <c r="B40" s="11" t="inlineStr">
        <is>
          <t>Platform Admin console</t>
        </is>
      </c>
      <c r="C40" s="11" t="inlineStr">
        <is>
          <t>5. Suite PA — Platform Admin console (operator)</t>
        </is>
      </c>
      <c r="D40" s="11" t="inlineStr">
        <is>
          <t>Resend the **admin reset** email for the tenant</t>
        </is>
      </c>
      <c r="E40" s="11" t="inlineStr">
        <is>
          <t>Action succeeds; reset email sent (or logged FAILED if SES unset)</t>
        </is>
      </c>
      <c r="F40" s="12" t="inlineStr">
        <is>
          <t>Not run</t>
        </is>
      </c>
      <c r="G40" s="13" t="b">
        <v>0</v>
      </c>
      <c r="H40" s="12" t="inlineStr"/>
      <c r="I40" s="14" t="n"/>
      <c r="J40" s="12" t="inlineStr"/>
      <c r="K40" s="12" t="inlineStr"/>
    </row>
    <row r="41">
      <c r="A41" s="11" t="inlineStr">
        <is>
          <t>PA-15</t>
        </is>
      </c>
      <c r="B41" s="11" t="inlineStr">
        <is>
          <t>Platform Admin console</t>
        </is>
      </c>
      <c r="C41" s="11" t="inlineStr">
        <is>
          <t>5. Suite PA — Platform Admin console (operator)</t>
        </is>
      </c>
      <c r="D41" s="11" t="inlineStr">
        <is>
          <t>Request a **break-glass** grant for the tenant with a reason and expiry</t>
        </is>
      </c>
      <c r="E41" s="11" t="inlineStr">
        <is>
          <t>Grant appears in the tenant's break-glass list as active with its expiry</t>
        </is>
      </c>
      <c r="F41" s="12" t="inlineStr">
        <is>
          <t>Not run</t>
        </is>
      </c>
      <c r="G41" s="13" t="b">
        <v>0</v>
      </c>
      <c r="H41" s="12" t="inlineStr"/>
      <c r="I41" s="14" t="n"/>
      <c r="J41" s="12" t="inlineStr"/>
      <c r="K41" s="12" t="inlineStr"/>
    </row>
    <row r="42">
      <c r="A42" s="11" t="inlineStr">
        <is>
          <t>PA-16</t>
        </is>
      </c>
      <c r="B42" s="11" t="inlineStr">
        <is>
          <t>Platform Admin console</t>
        </is>
      </c>
      <c r="C42" s="11" t="inlineStr">
        <is>
          <t>5. Suite PA — Platform Admin console (operator)</t>
        </is>
      </c>
      <c r="D42" s="11" t="inlineStr">
        <is>
          <t>**Revoke** the break-glass grant</t>
        </is>
      </c>
      <c r="E42" s="11" t="inlineStr">
        <is>
          <t>Status changes to revoked; it is no longer active</t>
        </is>
      </c>
      <c r="F42" s="12" t="inlineStr">
        <is>
          <t>Not run</t>
        </is>
      </c>
      <c r="G42" s="13" t="b">
        <v>0</v>
      </c>
      <c r="H42" s="12" t="inlineStr"/>
      <c r="I42" s="14" t="n"/>
      <c r="J42" s="12" t="inlineStr"/>
      <c r="K42" s="12" t="inlineStr"/>
    </row>
    <row r="43">
      <c r="A43" s="11" t="inlineStr">
        <is>
          <t>PA-17</t>
        </is>
      </c>
      <c r="B43" s="11" t="inlineStr">
        <is>
          <t>Platform Admin console</t>
        </is>
      </c>
      <c r="C43" s="11" t="inlineStr">
        <is>
          <t>5. Suite PA — Platform Admin console (operator)</t>
        </is>
      </c>
      <c r="D43" s="11" t="inlineStr">
        <is>
          <t>Open **Leads**</t>
        </is>
      </c>
      <c r="E43" s="11" t="inlineStr">
        <is>
          <t>The contact-form enquiries from LAND-04 appear, newest first</t>
        </is>
      </c>
      <c r="F43" s="12" t="inlineStr">
        <is>
          <t>Not run</t>
        </is>
      </c>
      <c r="G43" s="13" t="b">
        <v>0</v>
      </c>
      <c r="H43" s="12" t="inlineStr"/>
      <c r="I43" s="14" t="n"/>
      <c r="J43" s="12" t="inlineStr"/>
      <c r="K43" s="12" t="inlineStr"/>
    </row>
    <row r="44">
      <c r="A44" s="11" t="inlineStr">
        <is>
          <t>PA-18</t>
        </is>
      </c>
      <c r="B44" s="11" t="inlineStr">
        <is>
          <t>Platform Admin console</t>
        </is>
      </c>
      <c r="C44" s="11" t="inlineStr">
        <is>
          <t>5. Suite PA — Platform Admin console (operator)</t>
        </is>
      </c>
      <c r="D44" s="11" t="inlineStr">
        <is>
          <t>Open **Settings**; add a notify email address; save</t>
        </is>
      </c>
      <c r="E44" s="11" t="inlineStr">
        <is>
          <t>Saved; a new LAND-04 submission notifies that address (when SES is live)</t>
        </is>
      </c>
      <c r="F44" s="12" t="inlineStr">
        <is>
          <t>Not run</t>
        </is>
      </c>
      <c r="G44" s="13" t="b">
        <v>0</v>
      </c>
      <c r="H44" s="12" t="inlineStr"/>
      <c r="I44" s="14" t="n"/>
      <c r="J44" s="12" t="inlineStr"/>
      <c r="K44" s="12" t="inlineStr"/>
    </row>
    <row r="45">
      <c r="A45" s="11" t="inlineStr">
        <is>
          <t>PA-19</t>
        </is>
      </c>
      <c r="B45" s="11" t="inlineStr">
        <is>
          <t>Platform Admin console</t>
        </is>
      </c>
      <c r="C45" s="11" t="inlineStr">
        <is>
          <t>5. Suite PA — Platform Admin console (operator)</t>
        </is>
      </c>
      <c r="D45" s="11" t="inlineStr">
        <is>
          <t>Remove the notify email; save</t>
        </is>
      </c>
      <c r="E45" s="11" t="inlineStr">
        <is>
          <t>Saved; list updates</t>
        </is>
      </c>
      <c r="F45" s="12" t="inlineStr">
        <is>
          <t>Not run</t>
        </is>
      </c>
      <c r="G45" s="13" t="b">
        <v>0</v>
      </c>
      <c r="H45" s="12" t="inlineStr"/>
      <c r="I45" s="14" t="n"/>
      <c r="J45" s="12" t="inlineStr"/>
      <c r="K45" s="12" t="inlineStr"/>
    </row>
    <row r="46">
      <c r="A46" s="11" t="inlineStr">
        <is>
          <t>PA-20</t>
        </is>
      </c>
      <c r="B46" s="11" t="inlineStr">
        <is>
          <t>Platform Admin console</t>
        </is>
      </c>
      <c r="C46" s="11" t="inlineStr">
        <is>
          <t>5. Suite PA — Platform Admin console (operator)</t>
        </is>
      </c>
      <c r="D46" s="11" t="inlineStr">
        <is>
          <t>Open **Audit**</t>
        </is>
      </c>
      <c r="E46" s="11" t="inlineStr">
        <is>
          <t>Platform audit entries for PA-05, PA-09, PA-10, PA-12, PA-15, PA-16, PA-18 appear</t>
        </is>
      </c>
      <c r="F46" s="12" t="inlineStr">
        <is>
          <t>Not run</t>
        </is>
      </c>
      <c r="G46" s="13" t="b">
        <v>0</v>
      </c>
      <c r="H46" s="12" t="inlineStr"/>
      <c r="I46" s="14" t="n"/>
      <c r="J46" s="12" t="inlineStr"/>
      <c r="K46" s="12" t="inlineStr"/>
    </row>
    <row r="47">
      <c r="A47" s="11" t="inlineStr">
        <is>
          <t>PA-21</t>
        </is>
      </c>
      <c r="B47" s="11" t="inlineStr">
        <is>
          <t>Platform Admin console</t>
        </is>
      </c>
      <c r="C47" s="11" t="inlineStr">
        <is>
          <t>5. Suite PA — Platform Admin console (operator)</t>
        </is>
      </c>
      <c r="D47" s="11" t="inlineStr">
        <is>
          <t>Attempt to open a **tenant's employee data** from the operator console</t>
        </is>
      </c>
      <c r="E47" s="11" t="inlineStr">
        <is>
          <t>Not possible; the operator has no tenant business-data view (by design)</t>
        </is>
      </c>
      <c r="F47" s="12" t="inlineStr">
        <is>
          <t>Not run</t>
        </is>
      </c>
      <c r="G47" s="13" t="b">
        <v>0</v>
      </c>
      <c r="H47" s="12" t="inlineStr"/>
      <c r="I47" s="14" t="n"/>
      <c r="J47" s="12" t="inlineStr"/>
      <c r="K47" s="12" t="inlineStr"/>
    </row>
    <row r="48">
      <c r="A48" s="11" t="inlineStr">
        <is>
          <t>PA-22</t>
        </is>
      </c>
      <c r="B48" s="11" t="inlineStr">
        <is>
          <t>Platform Admin console</t>
        </is>
      </c>
      <c r="C48" s="11" t="inlineStr">
        <is>
          <t>5. Suite PA — Platform Admin console (operator)</t>
        </is>
      </c>
      <c r="D48" s="11" t="inlineStr">
        <is>
          <t>Sign out and confirm the console is no longer reachable without signing in</t>
        </is>
      </c>
      <c r="E48" s="11" t="inlineStr">
        <is>
          <t>Redirected to the operator login</t>
        </is>
      </c>
      <c r="F48" s="12" t="inlineStr">
        <is>
          <t>Not run</t>
        </is>
      </c>
      <c r="G48" s="13" t="b">
        <v>0</v>
      </c>
      <c r="H48" s="12" t="inlineStr"/>
      <c r="I48" s="14" t="n"/>
      <c r="J48" s="12" t="inlineStr"/>
      <c r="K48" s="12" t="inlineStr"/>
    </row>
    <row r="49">
      <c r="A49" s="11" t="inlineStr">
        <is>
          <t>CFG-01</t>
        </is>
      </c>
      <c r="B49" s="11" t="inlineStr">
        <is>
          <t>Tenant config &amp; wizard</t>
        </is>
      </c>
      <c r="C49" s="11" t="inlineStr">
        <is>
          <t>6. Suite CFG — Tenant configuration &amp; first-run setup wizard</t>
        </is>
      </c>
      <c r="D49" s="11" t="inlineStr">
        <is>
          <t>Sign in for the first time</t>
        </is>
      </c>
      <c r="E49" s="11" t="inlineStr">
        <is>
          <t>First-run setup wizard appears</t>
        </is>
      </c>
      <c r="F49" s="12" t="inlineStr">
        <is>
          <t>Not run</t>
        </is>
      </c>
      <c r="G49" s="13" t="b">
        <v>0</v>
      </c>
      <c r="H49" s="12" t="inlineStr"/>
      <c r="I49" s="14" t="n"/>
      <c r="J49" s="12" t="inlineStr"/>
      <c r="K49" s="12" t="inlineStr"/>
    </row>
    <row r="50">
      <c r="A50" s="11" t="inlineStr">
        <is>
          <t>CFG-02</t>
        </is>
      </c>
      <c r="B50" s="11" t="inlineStr">
        <is>
          <t>Tenant config &amp; wizard</t>
        </is>
      </c>
      <c r="C50" s="11" t="inlineStr">
        <is>
          <t>6. Suite CFG — Tenant configuration &amp; first-run setup wizard</t>
        </is>
      </c>
      <c r="D50" s="11" t="inlineStr">
        <is>
          <t>Skip the wizard</t>
        </is>
      </c>
      <c r="E50" s="11" t="inlineStr">
        <is>
          <t>Dashboard opens; wizard can be resumed later</t>
        </is>
      </c>
      <c r="F50" s="12" t="inlineStr">
        <is>
          <t>Not run</t>
        </is>
      </c>
      <c r="G50" s="13" t="b">
        <v>0</v>
      </c>
      <c r="H50" s="12" t="inlineStr"/>
      <c r="I50" s="14" t="n"/>
      <c r="J50" s="12" t="inlineStr"/>
      <c r="K50" s="12" t="inlineStr"/>
    </row>
    <row r="51">
      <c r="A51" s="11" t="inlineStr">
        <is>
          <t>CFG-03</t>
        </is>
      </c>
      <c r="B51" s="11" t="inlineStr">
        <is>
          <t>Tenant config &amp; wizard</t>
        </is>
      </c>
      <c r="C51" s="11" t="inlineStr">
        <is>
          <t>6. Suite CFG — Tenant configuration &amp; first-run setup wizard</t>
        </is>
      </c>
      <c r="D51" s="11" t="inlineStr">
        <is>
          <t>Re-open the wizard (from Settings or its link)</t>
        </is>
      </c>
      <c r="E51" s="11" t="inlineStr">
        <is>
          <t>Resumes from the saved step; previously entered values kept</t>
        </is>
      </c>
      <c r="F51" s="12" t="inlineStr">
        <is>
          <t>Not run</t>
        </is>
      </c>
      <c r="G51" s="13" t="b">
        <v>0</v>
      </c>
      <c r="H51" s="12" t="inlineStr"/>
      <c r="I51" s="14" t="n"/>
      <c r="J51" s="12" t="inlineStr"/>
      <c r="K51" s="12" t="inlineStr"/>
    </row>
    <row r="52">
      <c r="A52" s="11" t="inlineStr">
        <is>
          <t>CFG-04</t>
        </is>
      </c>
      <c r="B52" s="11" t="inlineStr">
        <is>
          <t>Tenant config &amp; wizard</t>
        </is>
      </c>
      <c r="C52" s="11" t="inlineStr">
        <is>
          <t>6. Suite CFG — Tenant configuration &amp; first-run setup wizard</t>
        </is>
      </c>
      <c r="D52" s="11" t="inlineStr">
        <is>
          <t>Set company details (name, FY start month, timezone, payroll cut-off day) and save</t>
        </is>
      </c>
      <c r="E52" s="11" t="inlineStr">
        <is>
          <t>Saved; values persist after reload</t>
        </is>
      </c>
      <c r="F52" s="12" t="inlineStr">
        <is>
          <t>Not run</t>
        </is>
      </c>
      <c r="G52" s="13" t="b">
        <v>0</v>
      </c>
      <c r="H52" s="12" t="inlineStr"/>
      <c r="I52" s="14" t="n"/>
      <c r="J52" s="12" t="inlineStr"/>
      <c r="K52" s="12" t="inlineStr"/>
    </row>
    <row r="53">
      <c r="A53" s="11" t="inlineStr">
        <is>
          <t>CFG-05</t>
        </is>
      </c>
      <c r="B53" s="11" t="inlineStr">
        <is>
          <t>Tenant config &amp; wizard</t>
        </is>
      </c>
      <c r="C53" s="11" t="inlineStr">
        <is>
          <t>6. Suite CFG — Tenant configuration &amp; first-run setup wizard</t>
        </is>
      </c>
      <c r="D53" s="11" t="inlineStr">
        <is>
          <t>Create shift **General** 09:00–18:00, grace 10 min, target hours 9</t>
        </is>
      </c>
      <c r="E53" s="11" t="inlineStr">
        <is>
          <t>Shift saved; listed in Settings › Shifts</t>
        </is>
      </c>
      <c r="F53" s="12" t="inlineStr">
        <is>
          <t>Not run</t>
        </is>
      </c>
      <c r="G53" s="13" t="b">
        <v>0</v>
      </c>
      <c r="H53" s="12" t="inlineStr"/>
      <c r="I53" s="14" t="n"/>
      <c r="J53" s="12" t="inlineStr"/>
      <c r="K53" s="12" t="inlineStr"/>
    </row>
    <row r="54">
      <c r="A54" s="11" t="inlineStr">
        <is>
          <t>CFG-06</t>
        </is>
      </c>
      <c r="B54" s="11" t="inlineStr">
        <is>
          <t>Tenant config &amp; wizard</t>
        </is>
      </c>
      <c r="C54" s="11" t="inlineStr">
        <is>
          <t>6. Suite CFG — Tenant configuration &amp; first-run setup wizard</t>
        </is>
      </c>
      <c r="D54" s="11" t="inlineStr">
        <is>
          <t>Edit the shift (change grace to 15 min)</t>
        </is>
      </c>
      <c r="E54" s="11" t="inlineStr">
        <is>
          <t>Updated; attendance late-marking uses the new grace (verify in ATT-06 later)</t>
        </is>
      </c>
      <c r="F54" s="12" t="inlineStr">
        <is>
          <t>Not run</t>
        </is>
      </c>
      <c r="G54" s="13" t="b">
        <v>0</v>
      </c>
      <c r="H54" s="12" t="inlineStr"/>
      <c r="I54" s="14" t="n"/>
      <c r="J54" s="12" t="inlineStr"/>
      <c r="K54" s="12" t="inlineStr"/>
    </row>
    <row r="55">
      <c r="A55" s="11" t="inlineStr">
        <is>
          <t>CFG-07</t>
        </is>
      </c>
      <c r="B55" s="11" t="inlineStr">
        <is>
          <t>Tenant config &amp; wizard</t>
        </is>
      </c>
      <c r="C55" s="11" t="inlineStr">
        <is>
          <t>6. Suite CFG — Tenant configuration &amp; first-run setup wizard</t>
        </is>
      </c>
      <c r="D55" s="11" t="inlineStr">
        <is>
          <t>Try to delete a shift that employees are assigned to (if the rule applies)</t>
        </is>
      </c>
      <c r="E55" s="11" t="inlineStr">
        <is>
          <t>Blocked with a clear message, or deletion allowed with reassignment — must not orphan employees silently</t>
        </is>
      </c>
      <c r="F55" s="12" t="inlineStr">
        <is>
          <t>Not run</t>
        </is>
      </c>
      <c r="G55" s="13" t="b">
        <v>0</v>
      </c>
      <c r="H55" s="12" t="inlineStr"/>
      <c r="I55" s="14" t="n"/>
      <c r="J55" s="12" t="inlineStr"/>
      <c r="K55" s="12" t="inlineStr"/>
    </row>
    <row r="56">
      <c r="A56" s="11" t="inlineStr">
        <is>
          <t>CFG-08</t>
        </is>
      </c>
      <c r="B56" s="11" t="inlineStr">
        <is>
          <t>Tenant config &amp; wizard</t>
        </is>
      </c>
      <c r="C56" s="11" t="inlineStr">
        <is>
          <t>6. Suite CFG — Tenant configuration &amp; first-run setup wizard</t>
        </is>
      </c>
      <c r="D56" s="11" t="inlineStr">
        <is>
          <t>Set attendance settings: regularization window (days), monthly regularization cap, unactioned behaviour (auto-approve / auto-reject)</t>
        </is>
      </c>
      <c r="E56" s="11" t="inlineStr">
        <is>
          <t>Saved; visible on reload</t>
        </is>
      </c>
      <c r="F56" s="12" t="inlineStr">
        <is>
          <t>Not run</t>
        </is>
      </c>
      <c r="G56" s="13" t="b">
        <v>0</v>
      </c>
      <c r="H56" s="12" t="inlineStr"/>
      <c r="I56" s="14" t="n"/>
      <c r="J56" s="12" t="inlineStr"/>
      <c r="K56" s="12" t="inlineStr"/>
    </row>
    <row r="57">
      <c r="A57" s="11" t="inlineStr">
        <is>
          <t>CFG-09</t>
        </is>
      </c>
      <c r="B57" s="11" t="inlineStr">
        <is>
          <t>Tenant config &amp; wizard</t>
        </is>
      </c>
      <c r="C57" s="11" t="inlineStr">
        <is>
          <t>6. Suite CFG — Tenant configuration &amp; first-run setup wizard</t>
        </is>
      </c>
      <c r="D57" s="11" t="inlineStr">
        <is>
          <t>Set general leave settings (`allowLopRequests`, `fyStartMonth`)</t>
        </is>
      </c>
      <c r="E57" s="11" t="inlineStr">
        <is>
          <t>Saved; visible on reload</t>
        </is>
      </c>
      <c r="F57" s="12" t="inlineStr">
        <is>
          <t>Not run</t>
        </is>
      </c>
      <c r="G57" s="13" t="b">
        <v>0</v>
      </c>
      <c r="H57" s="12" t="inlineStr"/>
      <c r="I57" s="14" t="n"/>
      <c r="J57" s="12" t="inlineStr"/>
      <c r="K57" s="12" t="inlineStr"/>
    </row>
    <row r="58">
      <c r="A58" s="11" t="inlineStr">
        <is>
          <t>CFG-10</t>
        </is>
      </c>
      <c r="B58" s="11" t="inlineStr">
        <is>
          <t>Tenant config &amp; wizard</t>
        </is>
      </c>
      <c r="C58" s="11" t="inlineStr">
        <is>
          <t>6. Suite CFG — Tenant configuration &amp; first-run setup wizard</t>
        </is>
      </c>
      <c r="D58" s="11" t="inlineStr">
        <is>
          <t>Sign in as **HR Manager** and open Settings</t>
        </is>
      </c>
      <c r="E58" s="11" t="inlineStr">
        <is>
          <t>Attendance/leave *admin settings* not editable by HR Manager (Company Admin only) — verify the screen is read-only or hidden per matrix</t>
        </is>
      </c>
      <c r="F58" s="12" t="inlineStr">
        <is>
          <t>Not run</t>
        </is>
      </c>
      <c r="G58" s="13" t="b">
        <v>0</v>
      </c>
      <c r="H58" s="12" t="inlineStr"/>
      <c r="I58" s="14" t="n"/>
      <c r="J58" s="12" t="inlineStr"/>
      <c r="K58" s="12" t="inlineStr"/>
    </row>
    <row r="59">
      <c r="A59" s="11" t="inlineStr">
        <is>
          <t>CFG-11</t>
        </is>
      </c>
      <c r="B59" s="11" t="inlineStr">
        <is>
          <t>Tenant config &amp; wizard</t>
        </is>
      </c>
      <c r="C59" s="11" t="inlineStr">
        <is>
          <t>6. Suite CFG — Tenant configuration &amp; first-run setup wizard</t>
        </is>
      </c>
      <c r="D59" s="11" t="inlineStr">
        <is>
          <t>Sign in as an **Employee** and try to reach `/attendance` settings URL directly</t>
        </is>
      </c>
      <c r="E59" s="11" t="inlineStr">
        <is>
          <t>Blocked / hidden</t>
        </is>
      </c>
      <c r="F59" s="12" t="inlineStr">
        <is>
          <t>Not run</t>
        </is>
      </c>
      <c r="G59" s="13" t="b">
        <v>0</v>
      </c>
      <c r="H59" s="12" t="inlineStr"/>
      <c r="I59" s="14" t="n"/>
      <c r="J59" s="12" t="inlineStr"/>
      <c r="K59" s="12" t="inlineStr"/>
    </row>
    <row r="60">
      <c r="A60" s="11" t="inlineStr">
        <is>
          <t>CFG-12</t>
        </is>
      </c>
      <c r="B60" s="11" t="inlineStr">
        <is>
          <t>Tenant config &amp; wizard</t>
        </is>
      </c>
      <c r="C60" s="11" t="inlineStr">
        <is>
          <t>6. Suite CFG — Tenant configuration &amp; first-run setup wizard</t>
        </is>
      </c>
      <c r="D60" s="11" t="inlineStr">
        <is>
          <t>Verify the **plan gating**: on a tenant WITHOUT the Attendance entitlement, open Attendance</t>
        </is>
      </c>
      <c r="E60" s="11" t="inlineStr">
        <is>
          <t>Blocked with a plan-upgrade message (entitlement enforced server-side, not just hidden)</t>
        </is>
      </c>
      <c r="F60" s="12" t="inlineStr">
        <is>
          <t>Not run</t>
        </is>
      </c>
      <c r="G60" s="13" t="b">
        <v>0</v>
      </c>
      <c r="H60" s="12" t="inlineStr"/>
      <c r="I60" s="14" t="n"/>
      <c r="J60" s="12" t="inlineStr"/>
      <c r="K60" s="12" t="inlineStr"/>
    </row>
    <row r="61">
      <c r="A61" s="11" t="inlineStr">
        <is>
          <t>EMP-01</t>
        </is>
      </c>
      <c r="B61" s="11" t="inlineStr">
        <is>
          <t>Employee Master</t>
        </is>
      </c>
      <c r="C61" s="11" t="inlineStr">
        <is>
          <t>7. Suite EMP — Employee Master &amp; Org Structure</t>
        </is>
      </c>
      <c r="D61" s="11" t="inlineStr">
        <is>
          <t>Open **Departments**; create Engineering, Finance, Sales, HR</t>
        </is>
      </c>
      <c r="E61" s="11" t="inlineStr">
        <is>
          <t>All four created and listed</t>
        </is>
      </c>
      <c r="F61" s="12" t="inlineStr">
        <is>
          <t>Not run</t>
        </is>
      </c>
      <c r="G61" s="13" t="b">
        <v>0</v>
      </c>
      <c r="H61" s="12" t="inlineStr"/>
      <c r="I61" s="14" t="n"/>
      <c r="J61" s="12" t="inlineStr"/>
      <c r="K61" s="12" t="inlineStr"/>
    </row>
    <row r="62">
      <c r="A62" s="11" t="inlineStr">
        <is>
          <t>EMP-02</t>
        </is>
      </c>
      <c r="B62" s="11" t="inlineStr">
        <is>
          <t>Employee Master</t>
        </is>
      </c>
      <c r="C62" s="11" t="inlineStr">
        <is>
          <t>7. Suite EMP — Employee Master &amp; Org Structure</t>
        </is>
      </c>
      <c r="D62" s="11" t="inlineStr">
        <is>
          <t>Rename a department; try to delete a department that still has employees</t>
        </is>
      </c>
      <c r="E62" s="11" t="inlineStr">
        <is>
          <t>Rename saved; delete blocked while employees are attached</t>
        </is>
      </c>
      <c r="F62" s="12" t="inlineStr">
        <is>
          <t>Not run</t>
        </is>
      </c>
      <c r="G62" s="13" t="b">
        <v>0</v>
      </c>
      <c r="H62" s="12" t="inlineStr"/>
      <c r="I62" s="14" t="n"/>
      <c r="J62" s="12" t="inlineStr"/>
      <c r="K62" s="12" t="inlineStr"/>
    </row>
    <row r="63">
      <c r="A63" s="11" t="inlineStr">
        <is>
          <t>EMP-03</t>
        </is>
      </c>
      <c r="B63" s="11" t="inlineStr">
        <is>
          <t>Employee Master</t>
        </is>
      </c>
      <c r="C63" s="11" t="inlineStr">
        <is>
          <t>7. Suite EMP — Employee Master &amp; Org Structure</t>
        </is>
      </c>
      <c r="D63" s="11" t="inlineStr">
        <is>
          <t>Open **Org Chart**</t>
        </is>
      </c>
      <c r="E63" s="11" t="inlineStr">
        <is>
          <t>Interactive chart shows Company Admin at top; expand/collapse works; click a node to open the person</t>
        </is>
      </c>
      <c r="F63" s="12" t="inlineStr">
        <is>
          <t>Not run</t>
        </is>
      </c>
      <c r="G63" s="13" t="b">
        <v>0</v>
      </c>
      <c r="H63" s="12" t="inlineStr"/>
      <c r="I63" s="14" t="n"/>
      <c r="J63" s="12" t="inlineStr"/>
      <c r="K63" s="12" t="inlineStr"/>
    </row>
    <row r="64">
      <c r="A64" s="11" t="inlineStr">
        <is>
          <t>EMP-04</t>
        </is>
      </c>
      <c r="B64" s="11" t="inlineStr">
        <is>
          <t>Employee Master</t>
        </is>
      </c>
      <c r="C64" s="11" t="inlineStr">
        <is>
          <t>7. Suite EMP — Employee Master &amp; Org Structure</t>
        </is>
      </c>
      <c r="D64" s="11" t="inlineStr">
        <is>
          <t>**Employees → Add employee** (`/employees/new`). Create **Priya Rao** (Line Manager, Engineering). Create login with role LINE_MANAGER</t>
        </is>
      </c>
      <c r="E64" s="11" t="inlineStr">
        <is>
          <t>Employee saved; login invite sent; appears in list</t>
        </is>
      </c>
      <c r="F64" s="12" t="inlineStr">
        <is>
          <t>Not run</t>
        </is>
      </c>
      <c r="G64" s="13" t="b">
        <v>0</v>
      </c>
      <c r="H64" s="12" t="inlineStr"/>
      <c r="I64" s="14" t="n"/>
      <c r="J64" s="12" t="inlineStr"/>
      <c r="K64" s="12" t="inlineStr"/>
    </row>
    <row r="65">
      <c r="A65" s="11" t="inlineStr">
        <is>
          <t>EMP-05</t>
        </is>
      </c>
      <c r="B65" s="11" t="inlineStr">
        <is>
          <t>Employee Master</t>
        </is>
      </c>
      <c r="C65" s="11" t="inlineStr">
        <is>
          <t>7. Suite EMP — Employee Master &amp; Org Structure</t>
        </is>
      </c>
      <c r="D65" s="11" t="inlineStr">
        <is>
          <t>Create **Rahul Mehta** (Employee, Engineering), reporting manager = Priya Rao, role EMPLOYEE</t>
        </is>
      </c>
      <c r="E65" s="11" t="inlineStr">
        <is>
          <t>Saved; org chart shows Rahul under Priya</t>
        </is>
      </c>
      <c r="F65" s="12" t="inlineStr">
        <is>
          <t>Not run</t>
        </is>
      </c>
      <c r="G65" s="13" t="b">
        <v>0</v>
      </c>
      <c r="H65" s="12" t="inlineStr"/>
      <c r="I65" s="14" t="n"/>
      <c r="J65" s="12" t="inlineStr"/>
      <c r="K65" s="12" t="inlineStr"/>
    </row>
    <row r="66">
      <c r="A66" s="11" t="inlineStr">
        <is>
          <t>EMP-06</t>
        </is>
      </c>
      <c r="B66" s="11" t="inlineStr">
        <is>
          <t>Employee Master</t>
        </is>
      </c>
      <c r="C66" s="11" t="inlineStr">
        <is>
          <t>7. Suite EMP — Employee Master &amp; Org Structure</t>
        </is>
      </c>
      <c r="D66" s="11" t="inlineStr">
        <is>
          <t>Create an employee with a **duplicate work email**</t>
        </is>
      </c>
      <c r="E66" s="11" t="inlineStr">
        <is>
          <t>Rejected with a clear duplicate message</t>
        </is>
      </c>
      <c r="F66" s="12" t="inlineStr">
        <is>
          <t>Not run</t>
        </is>
      </c>
      <c r="G66" s="13" t="b">
        <v>0</v>
      </c>
      <c r="H66" s="12" t="inlineStr"/>
      <c r="I66" s="14" t="n"/>
      <c r="J66" s="12" t="inlineStr"/>
      <c r="K66" s="12" t="inlineStr"/>
    </row>
    <row r="67">
      <c r="A67" s="11" t="inlineStr">
        <is>
          <t>EMP-07</t>
        </is>
      </c>
      <c r="B67" s="11" t="inlineStr">
        <is>
          <t>Employee Master</t>
        </is>
      </c>
      <c r="C67" s="11" t="inlineStr">
        <is>
          <t>7. Suite EMP — Employee Master &amp; Org Structure</t>
        </is>
      </c>
      <c r="D67" s="11" t="inlineStr">
        <is>
          <t>Submit the create form with **required fields missing**</t>
        </is>
      </c>
      <c r="E67" s="11" t="inlineStr">
        <is>
          <t>Field-level validation; nothing saved</t>
        </is>
      </c>
      <c r="F67" s="12" t="inlineStr">
        <is>
          <t>Not run</t>
        </is>
      </c>
      <c r="G67" s="13" t="b">
        <v>0</v>
      </c>
      <c r="H67" s="12" t="inlineStr"/>
      <c r="I67" s="14" t="n"/>
      <c r="J67" s="12" t="inlineStr"/>
      <c r="K67" s="12" t="inlineStr"/>
    </row>
    <row r="68">
      <c r="A68" s="11" t="inlineStr">
        <is>
          <t>EMP-08</t>
        </is>
      </c>
      <c r="B68" s="11" t="inlineStr">
        <is>
          <t>Employee Master</t>
        </is>
      </c>
      <c r="C68" s="11" t="inlineStr">
        <is>
          <t>7. Suite EMP — Employee Master &amp; Org Structure</t>
        </is>
      </c>
      <c r="D68" s="11" t="inlineStr">
        <is>
          <t>Create an employee with a **date of joining in the future** (if policy allows) and check the lifecycle status</t>
        </is>
      </c>
      <c r="E68" s="11" t="inlineStr">
        <is>
          <t>Status reflects the joining rules; no crash</t>
        </is>
      </c>
      <c r="F68" s="12" t="inlineStr">
        <is>
          <t>Not run</t>
        </is>
      </c>
      <c r="G68" s="13" t="b">
        <v>0</v>
      </c>
      <c r="H68" s="12" t="inlineStr"/>
      <c r="I68" s="14" t="n"/>
      <c r="J68" s="12" t="inlineStr"/>
      <c r="K68" s="12" t="inlineStr"/>
    </row>
    <row r="69">
      <c r="A69" s="11" t="inlineStr">
        <is>
          <t>EMP-09</t>
        </is>
      </c>
      <c r="B69" s="11" t="inlineStr">
        <is>
          <t>Employee Master</t>
        </is>
      </c>
      <c r="C69" s="11" t="inlineStr">
        <is>
          <t>7. Suite EMP — Employee Master &amp; Org Structure</t>
        </is>
      </c>
      <c r="D69" s="11" t="inlineStr">
        <is>
          <t>Open **Employees** list; search by name; filter by department and status</t>
        </is>
      </c>
      <c r="E69" s="11" t="inlineStr">
        <is>
          <t>Results filter correctly; counts match</t>
        </is>
      </c>
      <c r="F69" s="12" t="inlineStr">
        <is>
          <t>Not run</t>
        </is>
      </c>
      <c r="G69" s="13" t="b">
        <v>0</v>
      </c>
      <c r="H69" s="12" t="inlineStr"/>
      <c r="I69" s="14" t="n"/>
      <c r="J69" s="12" t="inlineStr"/>
      <c r="K69" s="12" t="inlineStr"/>
    </row>
    <row r="70">
      <c r="A70" s="11" t="inlineStr">
        <is>
          <t>EMP-10</t>
        </is>
      </c>
      <c r="B70" s="11" t="inlineStr">
        <is>
          <t>Employee Master</t>
        </is>
      </c>
      <c r="C70" s="11" t="inlineStr">
        <is>
          <t>7. Suite EMP — Employee Master &amp; Org Structure</t>
        </is>
      </c>
      <c r="D70" s="11" t="inlineStr">
        <is>
          <t>Open an employee's **detail** page</t>
        </is>
      </c>
      <c r="E70" s="11" t="inlineStr">
        <is>
          <t>Tabs/sections for personal, job, compensation, documents, emergency contacts visible</t>
        </is>
      </c>
      <c r="F70" s="12" t="inlineStr">
        <is>
          <t>Not run</t>
        </is>
      </c>
      <c r="G70" s="13" t="b">
        <v>0</v>
      </c>
      <c r="H70" s="12" t="inlineStr"/>
      <c r="I70" s="14" t="n"/>
      <c r="J70" s="12" t="inlineStr"/>
      <c r="K70" s="12" t="inlineStr"/>
    </row>
    <row r="71">
      <c r="A71" s="11" t="inlineStr">
        <is>
          <t>EMP-11</t>
        </is>
      </c>
      <c r="B71" s="11" t="inlineStr">
        <is>
          <t>Employee Master</t>
        </is>
      </c>
      <c r="C71" s="11" t="inlineStr">
        <is>
          <t>7. Suite EMP — Employee Master &amp; Org Structure</t>
        </is>
      </c>
      <c r="D71" s="11" t="inlineStr">
        <is>
          <t>**Edit** job details (designation, department, reporting manager, employment type, CTC, pay grade, cost centre) and save</t>
        </is>
      </c>
      <c r="E71" s="11" t="inlineStr">
        <is>
          <t>Saved; the change is written to the audit log with before/after (verify in AUD-03)</t>
        </is>
      </c>
      <c r="F71" s="12" t="inlineStr">
        <is>
          <t>Not run</t>
        </is>
      </c>
      <c r="G71" s="13" t="b">
        <v>0</v>
      </c>
      <c r="H71" s="12" t="inlineStr"/>
      <c r="I71" s="14" t="n"/>
      <c r="J71" s="12" t="inlineStr"/>
      <c r="K71" s="12" t="inlineStr"/>
    </row>
    <row r="72">
      <c r="A72" s="11" t="inlineStr">
        <is>
          <t>EMP-12</t>
        </is>
      </c>
      <c r="B72" s="11" t="inlineStr">
        <is>
          <t>Employee Master</t>
        </is>
      </c>
      <c r="C72" s="11" t="inlineStr">
        <is>
          <t>7. Suite EMP — Employee Master &amp; Org Structure</t>
        </is>
      </c>
      <c r="D72" s="11" t="inlineStr">
        <is>
          <t>Change the **lifecycle** (e.g. ACTIVE → ON_NOTICE → SEPARATED), giving a separation reason</t>
        </is>
      </c>
      <c r="E72" s="11" t="inlineStr">
        <is>
          <t>Status changes; separation reason captured (used by attrition report RPT-06)</t>
        </is>
      </c>
      <c r="F72" s="12" t="inlineStr">
        <is>
          <t>Not run</t>
        </is>
      </c>
      <c r="G72" s="13" t="b">
        <v>0</v>
      </c>
      <c r="H72" s="12" t="inlineStr"/>
      <c r="I72" s="14" t="n"/>
      <c r="J72" s="12" t="inlineStr"/>
      <c r="K72" s="12" t="inlineStr"/>
    </row>
    <row r="73">
      <c r="A73" s="11" t="inlineStr">
        <is>
          <t>EMP-13</t>
        </is>
      </c>
      <c r="B73" s="11" t="inlineStr">
        <is>
          <t>Employee Master</t>
        </is>
      </c>
      <c r="C73" s="11" t="inlineStr">
        <is>
          <t>7. Suite EMP — Employee Master &amp; Org Structure</t>
        </is>
      </c>
      <c r="D73" s="11" t="inlineStr">
        <is>
          <t>Attempt an illegal lifecycle jump (e.g. SEPARATED → ACTIVE without rules)</t>
        </is>
      </c>
      <c r="E73" s="11" t="inlineStr">
        <is>
          <t>Rejected per the lifecycle state machine, or allowed only where the rules permit</t>
        </is>
      </c>
      <c r="F73" s="12" t="inlineStr">
        <is>
          <t>Not run</t>
        </is>
      </c>
      <c r="G73" s="13" t="b">
        <v>0</v>
      </c>
      <c r="H73" s="12" t="inlineStr"/>
      <c r="I73" s="14" t="n"/>
      <c r="J73" s="12" t="inlineStr"/>
      <c r="K73" s="12" t="inlineStr"/>
    </row>
    <row r="74">
      <c r="A74" s="11" t="inlineStr">
        <is>
          <t>EMP-14</t>
        </is>
      </c>
      <c r="B74" s="11" t="inlineStr">
        <is>
          <t>Employee Master</t>
        </is>
      </c>
      <c r="C74" s="11" t="inlineStr">
        <is>
          <t>7. Suite EMP — Employee Master &amp; Org Structure</t>
        </is>
      </c>
      <c r="D74" s="11" t="inlineStr">
        <is>
          <t>**Sensitive fields**: enter PAN and Aadhaar on an employee</t>
        </is>
      </c>
      <c r="E74" s="11" t="inlineStr">
        <is>
          <t>Aadhaar stored as **last 4 digits only** (see SEC-03); PAN masked in the view</t>
        </is>
      </c>
      <c r="F74" s="12" t="inlineStr">
        <is>
          <t>Not run</t>
        </is>
      </c>
      <c r="G74" s="13" t="b">
        <v>0</v>
      </c>
      <c r="H74" s="12" t="inlineStr"/>
      <c r="I74" s="14" t="n"/>
      <c r="J74" s="12" t="inlineStr"/>
      <c r="K74" s="12" t="inlineStr"/>
    </row>
    <row r="75">
      <c r="A75" s="11" t="inlineStr">
        <is>
          <t>EMP-15</t>
        </is>
      </c>
      <c r="B75" s="11" t="inlineStr">
        <is>
          <t>Employee Master</t>
        </is>
      </c>
      <c r="C75" s="11" t="inlineStr">
        <is>
          <t>7. Suite EMP — Employee Master &amp; Org Structure</t>
        </is>
      </c>
      <c r="D75" s="11" t="inlineStr">
        <is>
          <t>Click **Reveal** on a masked sensitive field</t>
        </is>
      </c>
      <c r="E75" s="11" t="inlineStr">
        <is>
          <t>Full value shown only for an authorised role; the reveal is logged (AUD-05)</t>
        </is>
      </c>
      <c r="F75" s="12" t="inlineStr">
        <is>
          <t>Not run</t>
        </is>
      </c>
      <c r="G75" s="13" t="b">
        <v>0</v>
      </c>
      <c r="H75" s="12" t="inlineStr"/>
      <c r="I75" s="14" t="n"/>
      <c r="J75" s="12" t="inlineStr"/>
      <c r="K75" s="12" t="inlineStr"/>
    </row>
    <row r="76">
      <c r="A76" s="11" t="inlineStr">
        <is>
          <t>EMP-16</t>
        </is>
      </c>
      <c r="B76" s="11" t="inlineStr">
        <is>
          <t>Employee Master</t>
        </is>
      </c>
      <c r="C76" s="11" t="inlineStr">
        <is>
          <t>7. Suite EMP — Employee Master &amp; Org Structure</t>
        </is>
      </c>
      <c r="D76" s="11" t="inlineStr">
        <is>
          <t>Add **emergency contacts** (add, edit, delete)</t>
        </is>
      </c>
      <c r="E76" s="11" t="inlineStr">
        <is>
          <t>Each action works and persists</t>
        </is>
      </c>
      <c r="F76" s="12" t="inlineStr">
        <is>
          <t>Not run</t>
        </is>
      </c>
      <c r="G76" s="13" t="b">
        <v>0</v>
      </c>
      <c r="H76" s="12" t="inlineStr"/>
      <c r="I76" s="14" t="n"/>
      <c r="J76" s="12" t="inlineStr"/>
      <c r="K76" s="12" t="inlineStr"/>
    </row>
    <row r="77">
      <c r="A77" s="11" t="inlineStr">
        <is>
          <t>EMP-17</t>
        </is>
      </c>
      <c r="B77" s="11" t="inlineStr">
        <is>
          <t>Employee Master</t>
        </is>
      </c>
      <c r="C77" s="11" t="inlineStr">
        <is>
          <t>7. Suite EMP — Employee Master &amp; Org Structure</t>
        </is>
      </c>
      <c r="D77" s="11" t="inlineStr">
        <is>
          <t>Upload a **profile photo** (valid JPG/PNG)</t>
        </is>
      </c>
      <c r="E77" s="11" t="inlineStr">
        <is>
          <t>Photo appears on the profile and in the org chart</t>
        </is>
      </c>
      <c r="F77" s="12" t="inlineStr">
        <is>
          <t>Not run</t>
        </is>
      </c>
      <c r="G77" s="13" t="b">
        <v>0</v>
      </c>
      <c r="H77" s="12" t="inlineStr"/>
      <c r="I77" s="14" t="n"/>
      <c r="J77" s="12" t="inlineStr"/>
      <c r="K77" s="12" t="inlineStr"/>
    </row>
    <row r="78">
      <c r="A78" s="11" t="inlineStr">
        <is>
          <t>EMP-18</t>
        </is>
      </c>
      <c r="B78" s="11" t="inlineStr">
        <is>
          <t>Employee Master</t>
        </is>
      </c>
      <c r="C78" s="11" t="inlineStr">
        <is>
          <t>7. Suite EMP — Employee Master &amp; Org Structure</t>
        </is>
      </c>
      <c r="D78" s="11" t="inlineStr">
        <is>
          <t>Upload an invalid photo (e.g. a .txt renamed to .jpg, or oversize)</t>
        </is>
      </c>
      <c r="E78" s="11" t="inlineStr">
        <is>
          <t>Rejected with a clear message</t>
        </is>
      </c>
      <c r="F78" s="12" t="inlineStr">
        <is>
          <t>Not run</t>
        </is>
      </c>
      <c r="G78" s="13" t="b">
        <v>0</v>
      </c>
      <c r="H78" s="12" t="inlineStr"/>
      <c r="I78" s="14" t="n"/>
      <c r="J78" s="12" t="inlineStr"/>
      <c r="K78" s="12" t="inlineStr"/>
    </row>
    <row r="79">
      <c r="A79" s="11" t="inlineStr">
        <is>
          <t>EMP-19</t>
        </is>
      </c>
      <c r="B79" s="11" t="inlineStr">
        <is>
          <t>Employee Master</t>
        </is>
      </c>
      <c r="C79" s="11" t="inlineStr">
        <is>
          <t>7. Suite EMP — Employee Master &amp; Org Structure</t>
        </is>
      </c>
      <c r="D79" s="11" t="inlineStr">
        <is>
          <t>**Bulk import**: download the template, fill 5 rows (include 1 deliberately bad row), upload</t>
        </is>
      </c>
      <c r="E79" s="11" t="inlineStr">
        <is>
          <t>Valid rows created; the bad row reported with its line number and reason; nothing half-imported</t>
        </is>
      </c>
      <c r="F79" s="12" t="inlineStr">
        <is>
          <t>Not run</t>
        </is>
      </c>
      <c r="G79" s="13" t="b">
        <v>0</v>
      </c>
      <c r="H79" s="12" t="inlineStr"/>
      <c r="I79" s="14" t="n"/>
      <c r="J79" s="12" t="inlineStr"/>
      <c r="K79" s="12" t="inlineStr"/>
    </row>
    <row r="80">
      <c r="A80" s="11" t="inlineStr">
        <is>
          <t>EMP-20</t>
        </is>
      </c>
      <c r="B80" s="11" t="inlineStr">
        <is>
          <t>Employee Master</t>
        </is>
      </c>
      <c r="C80" s="11" t="inlineStr">
        <is>
          <t>7. Suite EMP — Employee Master &amp; Org Structure</t>
        </is>
      </c>
      <c r="D80" s="11" t="inlineStr">
        <is>
          <t>Sign in as **Line Manager** and open **Employees**</t>
        </is>
      </c>
      <c r="E80" s="11" t="inlineStr">
        <is>
          <t>Sees only their own reports (recursive line-manager scope), not the whole company</t>
        </is>
      </c>
      <c r="F80" s="12" t="inlineStr">
        <is>
          <t>Not run</t>
        </is>
      </c>
      <c r="G80" s="13" t="b">
        <v>0</v>
      </c>
      <c r="H80" s="12" t="inlineStr"/>
      <c r="I80" s="14" t="n"/>
      <c r="J80" s="12" t="inlineStr"/>
      <c r="K80" s="12" t="inlineStr"/>
    </row>
    <row r="81">
      <c r="A81" s="11" t="inlineStr">
        <is>
          <t>ACC-01</t>
        </is>
      </c>
      <c r="B81" s="11" t="inlineStr">
        <is>
          <t>Access management</t>
        </is>
      </c>
      <c r="C81" s="11" t="inlineStr">
        <is>
          <t>8. Suite ACC — Access management (users, roles, status)</t>
        </is>
      </c>
      <c r="D81" s="11" t="inlineStr">
        <is>
          <t>Open **Access › Users**</t>
        </is>
      </c>
      <c r="E81" s="11" t="inlineStr">
        <is>
          <t>List of tenant logins with name, email, role, status</t>
        </is>
      </c>
      <c r="F81" s="12" t="inlineStr">
        <is>
          <t>Not run</t>
        </is>
      </c>
      <c r="G81" s="13" t="b">
        <v>0</v>
      </c>
      <c r="H81" s="12" t="inlineStr"/>
      <c r="I81" s="14" t="n"/>
      <c r="J81" s="12" t="inlineStr"/>
      <c r="K81" s="12" t="inlineStr"/>
    </row>
    <row r="82">
      <c r="A82" s="11" t="inlineStr">
        <is>
          <t>ACC-02</t>
        </is>
      </c>
      <c r="B82" s="11" t="inlineStr">
        <is>
          <t>Access management</t>
        </is>
      </c>
      <c r="C82" s="11" t="inlineStr">
        <is>
          <t>8. Suite ACC — Access management (users, roles, status)</t>
        </is>
      </c>
      <c r="D82" s="11" t="inlineStr">
        <is>
          <t>Company Admin changes **Rahul**'s role to HR Manager, then back to Employee</t>
        </is>
      </c>
      <c r="E82" s="11" t="inlineStr">
        <is>
          <t>Role changes saved each time; access follows the new role immediately</t>
        </is>
      </c>
      <c r="F82" s="12" t="inlineStr">
        <is>
          <t>Not run</t>
        </is>
      </c>
      <c r="G82" s="13" t="b">
        <v>0</v>
      </c>
      <c r="H82" s="12" t="inlineStr"/>
      <c r="I82" s="14" t="n"/>
      <c r="J82" s="12" t="inlineStr"/>
      <c r="K82" s="12" t="inlineStr"/>
    </row>
    <row r="83">
      <c r="A83" s="11" t="inlineStr">
        <is>
          <t>ACC-03</t>
        </is>
      </c>
      <c r="B83" s="11" t="inlineStr">
        <is>
          <t>Access management</t>
        </is>
      </c>
      <c r="C83" s="11" t="inlineStr">
        <is>
          <t>8. Suite ACC — Access management (users, roles, status)</t>
        </is>
      </c>
      <c r="D83" s="11" t="inlineStr">
        <is>
          <t>Company Admin grants **COMPANY_ADMIN** to another user</t>
        </is>
      </c>
      <c r="E83" s="11" t="inlineStr">
        <is>
          <t>Allowed (only Company Admin can grant this)</t>
        </is>
      </c>
      <c r="F83" s="12" t="inlineStr">
        <is>
          <t>Not run</t>
        </is>
      </c>
      <c r="G83" s="13" t="b">
        <v>0</v>
      </c>
      <c r="H83" s="12" t="inlineStr"/>
      <c r="I83" s="14" t="n"/>
      <c r="J83" s="12" t="inlineStr"/>
      <c r="K83" s="12" t="inlineStr"/>
    </row>
    <row r="84">
      <c r="A84" s="11" t="inlineStr">
        <is>
          <t>ACC-04</t>
        </is>
      </c>
      <c r="B84" s="11" t="inlineStr">
        <is>
          <t>Access management</t>
        </is>
      </c>
      <c r="C84" s="11" t="inlineStr">
        <is>
          <t>8. Suite ACC — Access management (users, roles, status)</t>
        </is>
      </c>
      <c r="D84" s="11" t="inlineStr">
        <is>
          <t>HR Manager tries to change a role</t>
        </is>
      </c>
      <c r="E84" s="11" t="inlineStr">
        <is>
          <t>Role control disabled or request refused by the server</t>
        </is>
      </c>
      <c r="F84" s="12" t="inlineStr">
        <is>
          <t>Not run</t>
        </is>
      </c>
      <c r="G84" s="13" t="b">
        <v>0</v>
      </c>
      <c r="H84" s="12" t="inlineStr"/>
      <c r="I84" s="14" t="n"/>
      <c r="J84" s="12" t="inlineStr"/>
      <c r="K84" s="12" t="inlineStr"/>
    </row>
    <row r="85">
      <c r="A85" s="11" t="inlineStr">
        <is>
          <t>ACC-05</t>
        </is>
      </c>
      <c r="B85" s="11" t="inlineStr">
        <is>
          <t>Access management</t>
        </is>
      </c>
      <c r="C85" s="11" t="inlineStr">
        <is>
          <t>8. Suite ACC — Access management (users, roles, status)</t>
        </is>
      </c>
      <c r="D85" s="11" t="inlineStr">
        <is>
          <t>HR Manager tries to create/assign COMPANY_ADMIN via any path</t>
        </is>
      </c>
      <c r="E85" s="11" t="inlineStr">
        <is>
          <t>Refused (HR Manager ceiling)</t>
        </is>
      </c>
      <c r="F85" s="12" t="inlineStr">
        <is>
          <t>Not run</t>
        </is>
      </c>
      <c r="G85" s="13" t="b">
        <v>0</v>
      </c>
      <c r="H85" s="12" t="inlineStr"/>
      <c r="I85" s="14" t="n"/>
      <c r="J85" s="12" t="inlineStr"/>
      <c r="K85" s="12" t="inlineStr"/>
    </row>
    <row r="86">
      <c r="A86" s="11" t="inlineStr">
        <is>
          <t>ACC-06</t>
        </is>
      </c>
      <c r="B86" s="11" t="inlineStr">
        <is>
          <t>Access management</t>
        </is>
      </c>
      <c r="C86" s="11" t="inlineStr">
        <is>
          <t>8. Suite ACC — Access management (users, roles, status)</t>
        </is>
      </c>
      <c r="D86" s="11" t="inlineStr">
        <is>
          <t>Company Admin tries to **demote themselves** when they are the last admin</t>
        </is>
      </c>
      <c r="E86" s="11" t="inlineStr">
        <is>
          <t>Blocked ("last admin" rule)</t>
        </is>
      </c>
      <c r="F86" s="12" t="inlineStr">
        <is>
          <t>Not run</t>
        </is>
      </c>
      <c r="G86" s="13" t="b">
        <v>0</v>
      </c>
      <c r="H86" s="12" t="inlineStr"/>
      <c r="I86" s="14" t="n"/>
      <c r="J86" s="12" t="inlineStr"/>
      <c r="K86" s="12" t="inlineStr"/>
    </row>
    <row r="87">
      <c r="A87" s="11" t="inlineStr">
        <is>
          <t>ACC-07</t>
        </is>
      </c>
      <c r="B87" s="11" t="inlineStr">
        <is>
          <t>Access management</t>
        </is>
      </c>
      <c r="C87" s="11" t="inlineStr">
        <is>
          <t>8. Suite ACC — Access management (users, roles, status)</t>
        </is>
      </c>
      <c r="D87" s="11" t="inlineStr">
        <is>
          <t>A user tries to **deactivate themselves**</t>
        </is>
      </c>
      <c r="E87" s="11" t="inlineStr">
        <is>
          <t>Blocked (self-deactivation rule)</t>
        </is>
      </c>
      <c r="F87" s="12" t="inlineStr">
        <is>
          <t>Not run</t>
        </is>
      </c>
      <c r="G87" s="13" t="b">
        <v>0</v>
      </c>
      <c r="H87" s="12" t="inlineStr"/>
      <c r="I87" s="14" t="n"/>
      <c r="J87" s="12" t="inlineStr"/>
      <c r="K87" s="12" t="inlineStr"/>
    </row>
    <row r="88">
      <c r="A88" s="11" t="inlineStr">
        <is>
          <t>ACC-08</t>
        </is>
      </c>
      <c r="B88" s="11" t="inlineStr">
        <is>
          <t>Access management</t>
        </is>
      </c>
      <c r="C88" s="11" t="inlineStr">
        <is>
          <t>8. Suite ACC — Access management (users, roles, status)</t>
        </is>
      </c>
      <c r="D88" s="11" t="inlineStr">
        <is>
          <t>HR Manager **deactivates** Rahul's login</t>
        </is>
      </c>
      <c r="E88" s="11" t="inlineStr">
        <is>
          <t>Status = inactive; Rahul cannot sign in (AUTH-10)</t>
        </is>
      </c>
      <c r="F88" s="12" t="inlineStr">
        <is>
          <t>Not run</t>
        </is>
      </c>
      <c r="G88" s="13" t="b">
        <v>0</v>
      </c>
      <c r="H88" s="12" t="inlineStr"/>
      <c r="I88" s="14" t="n"/>
      <c r="J88" s="12" t="inlineStr"/>
      <c r="K88" s="12" t="inlineStr"/>
    </row>
    <row r="89">
      <c r="A89" s="11" t="inlineStr">
        <is>
          <t>ACC-09</t>
        </is>
      </c>
      <c r="B89" s="11" t="inlineStr">
        <is>
          <t>Access management</t>
        </is>
      </c>
      <c r="C89" s="11" t="inlineStr">
        <is>
          <t>8. Suite ACC — Access management (users, roles, status)</t>
        </is>
      </c>
      <c r="D89" s="11" t="inlineStr">
        <is>
          <t>Re-activate Rahul</t>
        </is>
      </c>
      <c r="E89" s="11" t="inlineStr">
        <is>
          <t>Sign-in works again</t>
        </is>
      </c>
      <c r="F89" s="12" t="inlineStr">
        <is>
          <t>Not run</t>
        </is>
      </c>
      <c r="G89" s="13" t="b">
        <v>0</v>
      </c>
      <c r="H89" s="12" t="inlineStr"/>
      <c r="I89" s="14" t="n"/>
      <c r="J89" s="12" t="inlineStr"/>
      <c r="K89" s="12" t="inlineStr"/>
    </row>
    <row r="90">
      <c r="A90" s="11" t="inlineStr">
        <is>
          <t>ACC-10</t>
        </is>
      </c>
      <c r="B90" s="11" t="inlineStr">
        <is>
          <t>Access management</t>
        </is>
      </c>
      <c r="C90" s="11" t="inlineStr">
        <is>
          <t>8. Suite ACC — Access management (users, roles, status)</t>
        </is>
      </c>
      <c r="D90" s="11" t="inlineStr">
        <is>
          <t>HR Manager triggers a **password reset** for Rahul</t>
        </is>
      </c>
      <c r="E90" s="11" t="inlineStr">
        <is>
          <t>Reset email sent (or FAILED logged if SES unset); action recorded</t>
        </is>
      </c>
      <c r="F90" s="12" t="inlineStr">
        <is>
          <t>Not run</t>
        </is>
      </c>
      <c r="G90" s="13" t="b">
        <v>0</v>
      </c>
      <c r="H90" s="12" t="inlineStr"/>
      <c r="I90" s="14" t="n"/>
      <c r="J90" s="12" t="inlineStr"/>
      <c r="K90" s="12" t="inlineStr"/>
    </row>
    <row r="91">
      <c r="A91" s="11" t="inlineStr">
        <is>
          <t>ACC-11</t>
        </is>
      </c>
      <c r="B91" s="11" t="inlineStr">
        <is>
          <t>Access management</t>
        </is>
      </c>
      <c r="C91" s="11" t="inlineStr">
        <is>
          <t>8. Suite ACC — Access management (users, roles, status)</t>
        </is>
      </c>
      <c r="D91" s="11" t="inlineStr">
        <is>
          <t>Open a user's **activity** (`users/:id/activity`)</t>
        </is>
      </c>
      <c r="E91" s="11" t="inlineStr">
        <is>
          <t>Shows their login and access events</t>
        </is>
      </c>
      <c r="F91" s="12" t="inlineStr">
        <is>
          <t>Not run</t>
        </is>
      </c>
      <c r="G91" s="13" t="b">
        <v>0</v>
      </c>
      <c r="H91" s="12" t="inlineStr"/>
      <c r="I91" s="14" t="n"/>
      <c r="J91" s="12" t="inlineStr"/>
      <c r="K91" s="12" t="inlineStr"/>
    </row>
    <row r="92">
      <c r="A92" s="11" t="inlineStr">
        <is>
          <t>ACC-12</t>
        </is>
      </c>
      <c r="B92" s="11" t="inlineStr">
        <is>
          <t>Access management</t>
        </is>
      </c>
      <c r="C92" s="11" t="inlineStr">
        <is>
          <t>8. Suite ACC — Access management (users, roles, status)</t>
        </is>
      </c>
      <c r="D92" s="11" t="inlineStr">
        <is>
          <t>Open **Access › Audit › Login** feed</t>
        </is>
      </c>
      <c r="E92" s="11" t="inlineStr">
        <is>
          <t>Successful and failed (server-observed) logins listed with IP and user-agent. Note: wrong-password attempts are *not* recorded (known, owner-approved — §12)</t>
        </is>
      </c>
      <c r="F92" s="12" t="inlineStr">
        <is>
          <t>Not run</t>
        </is>
      </c>
      <c r="G92" s="13" t="b">
        <v>0</v>
      </c>
      <c r="H92" s="12" t="inlineStr"/>
      <c r="I92" s="14" t="n"/>
      <c r="J92" s="12" t="inlineStr"/>
      <c r="K92" s="12" t="inlineStr"/>
    </row>
    <row r="93">
      <c r="A93" s="11" t="inlineStr">
        <is>
          <t>ACC-13</t>
        </is>
      </c>
      <c r="B93" s="11" t="inlineStr">
        <is>
          <t>Access management</t>
        </is>
      </c>
      <c r="C93" s="11" t="inlineStr">
        <is>
          <t>8. Suite ACC — Access management (users, roles, status)</t>
        </is>
      </c>
      <c r="D93" s="11" t="inlineStr">
        <is>
          <t>Open **Access › Audit › Access** feed</t>
        </is>
      </c>
      <c r="E93" s="11" t="inlineStr">
        <is>
          <t>Role, status, reset and login-created events appear</t>
        </is>
      </c>
      <c r="F93" s="12" t="inlineStr">
        <is>
          <t>Not run</t>
        </is>
      </c>
      <c r="G93" s="13" t="b">
        <v>0</v>
      </c>
      <c r="H93" s="12" t="inlineStr"/>
      <c r="I93" s="14" t="n"/>
      <c r="J93" s="12" t="inlineStr"/>
      <c r="K93" s="12" t="inlineStr"/>
    </row>
    <row r="94">
      <c r="A94" s="11" t="inlineStr">
        <is>
          <t>ACC-14</t>
        </is>
      </c>
      <c r="B94" s="11" t="inlineStr">
        <is>
          <t>Access management</t>
        </is>
      </c>
      <c r="C94" s="11" t="inlineStr">
        <is>
          <t>8. Suite ACC — Access management (users, roles, status)</t>
        </is>
      </c>
      <c r="D94" s="11" t="inlineStr">
        <is>
          <t>**Auditor** opens Access: can read users and audit; cannot change roles, status or trigger resets</t>
        </is>
      </c>
      <c r="E94" s="11" t="inlineStr">
        <is>
          <t>Read-only; all write controls hidden or refused</t>
        </is>
      </c>
      <c r="F94" s="12" t="inlineStr">
        <is>
          <t>Not run</t>
        </is>
      </c>
      <c r="G94" s="13" t="b">
        <v>0</v>
      </c>
      <c r="H94" s="12" t="inlineStr"/>
      <c r="I94" s="14" t="n"/>
      <c r="J94" s="12" t="inlineStr"/>
      <c r="K94" s="12" t="inlineStr"/>
    </row>
    <row r="95">
      <c r="A95" s="11" t="inlineStr">
        <is>
          <t>LV-01</t>
        </is>
      </c>
      <c r="B95" s="11" t="inlineStr">
        <is>
          <t>Leave management</t>
        </is>
      </c>
      <c r="C95" s="11" t="inlineStr">
        <is>
          <t>9. Suite LV — Leave management</t>
        </is>
      </c>
      <c r="D95" s="11" t="inlineStr">
        <is>
          <t>Open **Leave › Leave Types**; create Casual (CL), Sick (SL), Earned (EL)</t>
        </is>
      </c>
      <c r="E95" s="11" t="inlineStr">
        <is>
          <t>Each saved with annual quota and flags</t>
        </is>
      </c>
      <c r="F95" s="12" t="inlineStr">
        <is>
          <t>Not run</t>
        </is>
      </c>
      <c r="G95" s="13" t="b">
        <v>0</v>
      </c>
      <c r="H95" s="12" t="inlineStr"/>
      <c r="I95" s="14" t="n"/>
      <c r="J95" s="12" t="inlineStr"/>
      <c r="K95" s="12" t="inlineStr"/>
    </row>
    <row r="96">
      <c r="A96" s="11" t="inlineStr">
        <is>
          <t>LV-02</t>
        </is>
      </c>
      <c r="B96" s="11" t="inlineStr">
        <is>
          <t>Leave management</t>
        </is>
      </c>
      <c r="C96" s="11" t="inlineStr">
        <is>
          <t>9. Suite LV — Leave management</t>
        </is>
      </c>
      <c r="D96" s="11" t="inlineStr">
        <is>
          <t>Set **minimum notice days** on Sick = 0 and on Earned = 7</t>
        </is>
      </c>
      <c r="E96" s="11" t="inlineStr">
        <is>
          <t>Saved</t>
        </is>
      </c>
      <c r="F96" s="12" t="inlineStr">
        <is>
          <t>Not run</t>
        </is>
      </c>
      <c r="G96" s="13" t="b">
        <v>0</v>
      </c>
      <c r="H96" s="12" t="inlineStr"/>
      <c r="I96" s="14" t="n"/>
      <c r="J96" s="12" t="inlineStr"/>
      <c r="K96" s="12" t="inlineStr"/>
    </row>
    <row r="97">
      <c r="A97" s="11" t="inlineStr">
        <is>
          <t>LV-03</t>
        </is>
      </c>
      <c r="B97" s="11" t="inlineStr">
        <is>
          <t>Leave management</t>
        </is>
      </c>
      <c r="C97" s="11" t="inlineStr">
        <is>
          <t>9. Suite LV — Leave management</t>
        </is>
      </c>
      <c r="D97" s="11" t="inlineStr">
        <is>
          <t>Set **gender restriction** on a type (e.g. Maternity — Female)</t>
        </is>
      </c>
      <c r="E97" s="11" t="inlineStr">
        <is>
          <t>Saved; a Male employee cannot apply for it (LV-17)</t>
        </is>
      </c>
      <c r="F97" s="12" t="inlineStr">
        <is>
          <t>Not run</t>
        </is>
      </c>
      <c r="G97" s="13" t="b">
        <v>0</v>
      </c>
      <c r="H97" s="12" t="inlineStr"/>
      <c r="I97" s="14" t="n"/>
      <c r="J97" s="12" t="inlineStr"/>
      <c r="K97" s="12" t="inlineStr"/>
    </row>
    <row r="98">
      <c r="A98" s="11" t="inlineStr">
        <is>
          <t>LV-04</t>
        </is>
      </c>
      <c r="B98" s="11" t="inlineStr">
        <is>
          <t>Leave management</t>
        </is>
      </c>
      <c r="C98" s="11" t="inlineStr">
        <is>
          <t>9. Suite LV — Leave management</t>
        </is>
      </c>
      <c r="D98" s="11" t="inlineStr">
        <is>
          <t>Mark one type **requires approval = off**</t>
        </is>
      </c>
      <c r="E98" s="11" t="inlineStr">
        <is>
          <t>Saved; applications of this type auto-approve per settings</t>
        </is>
      </c>
      <c r="F98" s="12" t="inlineStr">
        <is>
          <t>Not run</t>
        </is>
      </c>
      <c r="G98" s="13" t="b">
        <v>0</v>
      </c>
      <c r="H98" s="12" t="inlineStr"/>
      <c r="I98" s="14" t="n"/>
      <c r="J98" s="12" t="inlineStr"/>
      <c r="K98" s="12" t="inlineStr"/>
    </row>
    <row r="99">
      <c r="A99" s="11" t="inlineStr">
        <is>
          <t>LV-05</t>
        </is>
      </c>
      <c r="B99" s="11" t="inlineStr">
        <is>
          <t>Leave management</t>
        </is>
      </c>
      <c r="C99" s="11" t="inlineStr">
        <is>
          <t>9. Suite LV — Leave management</t>
        </is>
      </c>
      <c r="D99" s="11" t="inlineStr">
        <is>
          <t>Mark Comp-Off as the **designated comp-off type**</t>
        </is>
      </c>
      <c r="E99" s="11" t="inlineStr">
        <is>
          <t>Saved; the flag is on the type</t>
        </is>
      </c>
      <c r="F99" s="12" t="inlineStr">
        <is>
          <t>Not run</t>
        </is>
      </c>
      <c r="G99" s="13" t="b">
        <v>0</v>
      </c>
      <c r="H99" s="12" t="inlineStr"/>
      <c r="I99" s="14" t="n"/>
      <c r="J99" s="12" t="inlineStr"/>
      <c r="K99" s="12" t="inlineStr"/>
    </row>
    <row r="100">
      <c r="A100" s="11" t="inlineStr">
        <is>
          <t>LV-06</t>
        </is>
      </c>
      <c r="B100" s="11" t="inlineStr">
        <is>
          <t>Leave management</t>
        </is>
      </c>
      <c r="C100" s="11" t="inlineStr">
        <is>
          <t>9. Suite LV — Leave management</t>
        </is>
      </c>
      <c r="D100" s="11" t="inlineStr">
        <is>
          <t>**Initialise balances** for the year (`initialize/:year`)</t>
        </is>
      </c>
      <c r="E100" s="11" t="inlineStr">
        <is>
          <t>Each active employee gets balances; the action is idempotent (run twice → no duplicate credit)</t>
        </is>
      </c>
      <c r="F100" s="12" t="inlineStr">
        <is>
          <t>Not run</t>
        </is>
      </c>
      <c r="G100" s="13" t="b">
        <v>0</v>
      </c>
      <c r="H100" s="12" t="inlineStr"/>
      <c r="I100" s="14" t="n"/>
      <c r="J100" s="12" t="inlineStr"/>
      <c r="K100" s="12" t="inlineStr"/>
    </row>
    <row r="101">
      <c r="A101" s="11" t="inlineStr">
        <is>
          <t>LV-07</t>
        </is>
      </c>
      <c r="B101" s="11" t="inlineStr">
        <is>
          <t>Leave management</t>
        </is>
      </c>
      <c r="C101" s="11" t="inlineStr">
        <is>
          <t>9. Suite LV — Leave management</t>
        </is>
      </c>
      <c r="D101" s="11" t="inlineStr">
        <is>
          <t>Open **Leave › Settings** (Company Admin): approval levels (1 or 2), escalation timers, FY start month, LOP allowed</t>
        </is>
      </c>
      <c r="E101" s="11" t="inlineStr">
        <is>
          <t>Saved; visible on reload</t>
        </is>
      </c>
      <c r="F101" s="12" t="inlineStr">
        <is>
          <t>Not run</t>
        </is>
      </c>
      <c r="G101" s="13" t="b">
        <v>0</v>
      </c>
      <c r="H101" s="12" t="inlineStr"/>
      <c r="I101" s="14" t="n"/>
      <c r="J101" s="12" t="inlineStr"/>
      <c r="K101" s="12" t="inlineStr"/>
    </row>
    <row r="102">
      <c r="A102" s="11" t="inlineStr">
        <is>
          <t>LV-08</t>
        </is>
      </c>
      <c r="B102" s="11" t="inlineStr">
        <is>
          <t>Leave management</t>
        </is>
      </c>
      <c r="C102" s="11" t="inlineStr">
        <is>
          <t>9. Suite LV — Leave management</t>
        </is>
      </c>
      <c r="D102" s="11" t="inlineStr">
        <is>
          <t>Open **Holidays**; add two holidays (one on a weekday, one on a Saturday); edit one; delete one</t>
        </is>
      </c>
      <c r="E102" s="11" t="inlineStr">
        <is>
          <t>Each action works; list is sorted by date</t>
        </is>
      </c>
      <c r="F102" s="12" t="inlineStr">
        <is>
          <t>Not run</t>
        </is>
      </c>
      <c r="G102" s="13" t="b">
        <v>0</v>
      </c>
      <c r="H102" s="12" t="inlineStr"/>
      <c r="I102" s="14" t="n"/>
      <c r="J102" s="12" t="inlineStr"/>
      <c r="K102" s="12" t="inlineStr"/>
    </row>
    <row r="103">
      <c r="A103" s="11" t="inlineStr">
        <is>
          <t>LV-09</t>
        </is>
      </c>
      <c r="B103" s="11" t="inlineStr">
        <is>
          <t>Leave management</t>
        </is>
      </c>
      <c r="C103" s="11" t="inlineStr">
        <is>
          <t>9. Suite LV — Leave management</t>
        </is>
      </c>
      <c r="D103" s="11" t="inlineStr">
        <is>
          <t>Open **Overview**</t>
        </is>
      </c>
      <c r="E103" s="11" t="inlineStr">
        <is>
          <t>Balances per type for the year, pending requests, upcoming leave</t>
        </is>
      </c>
      <c r="F103" s="12" t="inlineStr">
        <is>
          <t>Not run</t>
        </is>
      </c>
      <c r="G103" s="13" t="b">
        <v>0</v>
      </c>
      <c r="H103" s="12" t="inlineStr"/>
      <c r="I103" s="14" t="n"/>
      <c r="J103" s="12" t="inlineStr"/>
      <c r="K103" s="12" t="inlineStr"/>
    </row>
    <row r="104">
      <c r="A104" s="11" t="inlineStr">
        <is>
          <t>LV-10</t>
        </is>
      </c>
      <c r="B104" s="11" t="inlineStr">
        <is>
          <t>Leave management</t>
        </is>
      </c>
      <c r="C104" s="11" t="inlineStr">
        <is>
          <t>9. Suite LV — Leave management</t>
        </is>
      </c>
      <c r="D104" s="11" t="inlineStr">
        <is>
          <t>**Apply**: Casual Leave, 2 working days spanning a weekend, with a reason</t>
        </is>
      </c>
      <c r="E104" s="11" t="inlineStr">
        <is>
          <t>Working-day count **excludes** weekends and public holidays (verify the count shown matches the calendar); request created as PENDING</t>
        </is>
      </c>
      <c r="F104" s="12" t="inlineStr">
        <is>
          <t>Not run</t>
        </is>
      </c>
      <c r="G104" s="13" t="b">
        <v>0</v>
      </c>
      <c r="H104" s="12" t="inlineStr"/>
      <c r="I104" s="14" t="n"/>
      <c r="J104" s="12" t="inlineStr"/>
      <c r="K104" s="12" t="inlineStr"/>
    </row>
    <row r="105">
      <c r="A105" s="11" t="inlineStr">
        <is>
          <t>LV-11</t>
        </is>
      </c>
      <c r="B105" s="11" t="inlineStr">
        <is>
          <t>Leave management</t>
        </is>
      </c>
      <c r="C105" s="11" t="inlineStr">
        <is>
          <t>9. Suite LV — Leave management</t>
        </is>
      </c>
      <c r="D105" s="11" t="inlineStr">
        <is>
          <t>Apply for a date range that **includes a public holiday**</t>
        </is>
      </c>
      <c r="E105" s="11" t="inlineStr">
        <is>
          <t>Holiday not counted as a leave day</t>
        </is>
      </c>
      <c r="F105" s="12" t="inlineStr">
        <is>
          <t>Not run</t>
        </is>
      </c>
      <c r="G105" s="13" t="b">
        <v>0</v>
      </c>
      <c r="H105" s="12" t="inlineStr"/>
      <c r="I105" s="14" t="n"/>
      <c r="J105" s="12" t="inlineStr"/>
      <c r="K105" s="12" t="inlineStr"/>
    </row>
    <row r="106">
      <c r="A106" s="11" t="inlineStr">
        <is>
          <t>LV-12</t>
        </is>
      </c>
      <c r="B106" s="11" t="inlineStr">
        <is>
          <t>Leave management</t>
        </is>
      </c>
      <c r="C106" s="11" t="inlineStr">
        <is>
          <t>9. Suite LV — Leave management</t>
        </is>
      </c>
      <c r="D106" s="11" t="inlineStr">
        <is>
          <t>Apply with **insufficient balance** (more days than available)</t>
        </is>
      </c>
      <c r="E106" s="11" t="inlineStr">
        <is>
          <t>Blocked with an insufficient-balance message (unless LOP is allowed, then labelled as LOP)</t>
        </is>
      </c>
      <c r="F106" s="12" t="inlineStr">
        <is>
          <t>Not run</t>
        </is>
      </c>
      <c r="G106" s="13" t="b">
        <v>0</v>
      </c>
      <c r="H106" s="12" t="inlineStr"/>
      <c r="I106" s="14" t="n"/>
      <c r="J106" s="12" t="inlineStr"/>
      <c r="K106" s="12" t="inlineStr"/>
    </row>
    <row r="107">
      <c r="A107" s="11" t="inlineStr">
        <is>
          <t>LV-13</t>
        </is>
      </c>
      <c r="B107" s="11" t="inlineStr">
        <is>
          <t>Leave management</t>
        </is>
      </c>
      <c r="C107" s="11" t="inlineStr">
        <is>
          <t>9. Suite LV — Leave management</t>
        </is>
      </c>
      <c r="D107" s="11" t="inlineStr">
        <is>
          <t>Apply for a **past date** (if not permitted)</t>
        </is>
      </c>
      <c r="E107" s="11" t="inlineStr">
        <is>
          <t>Blocked</t>
        </is>
      </c>
      <c r="F107" s="12" t="inlineStr">
        <is>
          <t>Not run</t>
        </is>
      </c>
      <c r="G107" s="13" t="b">
        <v>0</v>
      </c>
      <c r="H107" s="12" t="inlineStr"/>
      <c r="I107" s="14" t="n"/>
      <c r="J107" s="12" t="inlineStr"/>
      <c r="K107" s="12" t="inlineStr"/>
    </row>
    <row r="108">
      <c r="A108" s="11" t="inlineStr">
        <is>
          <t>LV-14</t>
        </is>
      </c>
      <c r="B108" s="11" t="inlineStr">
        <is>
          <t>Leave management</t>
        </is>
      </c>
      <c r="C108" s="11" t="inlineStr">
        <is>
          <t>9. Suite LV — Leave management</t>
        </is>
      </c>
      <c r="D108" s="11" t="inlineStr">
        <is>
          <t>Apply for Sick Leave **less than the minimum notice** (if rule set)</t>
        </is>
      </c>
      <c r="E108" s="11" t="inlineStr">
        <is>
          <t>Blocked with notice message</t>
        </is>
      </c>
      <c r="F108" s="12" t="inlineStr">
        <is>
          <t>Not run</t>
        </is>
      </c>
      <c r="G108" s="13" t="b">
        <v>0</v>
      </c>
      <c r="H108" s="12" t="inlineStr"/>
      <c r="I108" s="14" t="n"/>
      <c r="J108" s="12" t="inlineStr"/>
      <c r="K108" s="12" t="inlineStr"/>
    </row>
    <row r="109">
      <c r="A109" s="11" t="inlineStr">
        <is>
          <t>LV-15</t>
        </is>
      </c>
      <c r="B109" s="11" t="inlineStr">
        <is>
          <t>Leave management</t>
        </is>
      </c>
      <c r="C109" s="11" t="inlineStr">
        <is>
          <t>9. Suite LV — Leave management</t>
        </is>
      </c>
      <c r="D109" s="11" t="inlineStr">
        <is>
          <t>Apply with an **overlapping** existing request</t>
        </is>
      </c>
      <c r="E109" s="11" t="inlineStr">
        <is>
          <t>Blocked with an overlap message</t>
        </is>
      </c>
      <c r="F109" s="12" t="inlineStr">
        <is>
          <t>Not run</t>
        </is>
      </c>
      <c r="G109" s="13" t="b">
        <v>0</v>
      </c>
      <c r="H109" s="12" t="inlineStr"/>
      <c r="I109" s="14" t="n"/>
      <c r="J109" s="12" t="inlineStr"/>
      <c r="K109" s="12" t="inlineStr"/>
    </row>
    <row r="110">
      <c r="A110" s="11" t="inlineStr">
        <is>
          <t>LV-16</t>
        </is>
      </c>
      <c r="B110" s="11" t="inlineStr">
        <is>
          <t>Leave management</t>
        </is>
      </c>
      <c r="C110" s="11" t="inlineStr">
        <is>
          <t>9. Suite LV — Leave management</t>
        </is>
      </c>
      <c r="D110" s="11" t="inlineStr">
        <is>
          <t>**Attach** a document (PDF, ≤10 MB) to a Sick Leave request</t>
        </is>
      </c>
      <c r="E110" s="11" t="inlineStr">
        <is>
          <t>Upload succeeds; the file appears on the request (DOC-06)</t>
        </is>
      </c>
      <c r="F110" s="12" t="inlineStr">
        <is>
          <t>Not run</t>
        </is>
      </c>
      <c r="G110" s="13" t="b">
        <v>0</v>
      </c>
      <c r="H110" s="12" t="inlineStr"/>
      <c r="I110" s="14" t="n"/>
      <c r="J110" s="12" t="inlineStr"/>
      <c r="K110" s="12" t="inlineStr"/>
    </row>
    <row r="111">
      <c r="A111" s="11" t="inlineStr">
        <is>
          <t>LV-17</t>
        </is>
      </c>
      <c r="B111" s="11" t="inlineStr">
        <is>
          <t>Leave management</t>
        </is>
      </c>
      <c r="C111" s="11" t="inlineStr">
        <is>
          <t>9. Suite LV — Leave management</t>
        </is>
      </c>
      <c r="D111" s="11" t="inlineStr">
        <is>
          <t>Rahul tries to apply for the **gender-restricted** type while his gender is set to Male (LV-03)</t>
        </is>
      </c>
      <c r="E111" s="11" t="inlineStr">
        <is>
          <t>Blocked by the gender restriction</t>
        </is>
      </c>
      <c r="F111" s="12" t="inlineStr">
        <is>
          <t>Not run</t>
        </is>
      </c>
      <c r="G111" s="13" t="b">
        <v>0</v>
      </c>
      <c r="H111" s="12" t="inlineStr"/>
      <c r="I111" s="14" t="n"/>
      <c r="J111" s="12" t="inlineStr"/>
      <c r="K111" s="12" t="inlineStr"/>
    </row>
    <row r="112">
      <c r="A112" s="11" t="inlineStr">
        <is>
          <t>LV-18</t>
        </is>
      </c>
      <c r="B112" s="11" t="inlineStr">
        <is>
          <t>Leave management</t>
        </is>
      </c>
      <c r="C112" s="11" t="inlineStr">
        <is>
          <t>9. Suite LV — Leave management</t>
        </is>
      </c>
      <c r="D112" s="11" t="inlineStr">
        <is>
          <t>Open **My Requests**; filter by status</t>
        </is>
      </c>
      <c r="E112" s="11" t="inlineStr">
        <is>
          <t>Lists only Rahul's requests; statuses correct</t>
        </is>
      </c>
      <c r="F112" s="12" t="inlineStr">
        <is>
          <t>Not run</t>
        </is>
      </c>
      <c r="G112" s="13" t="b">
        <v>0</v>
      </c>
      <c r="H112" s="12" t="inlineStr"/>
      <c r="I112" s="14" t="n"/>
      <c r="J112" s="12" t="inlineStr"/>
      <c r="K112" s="12" t="inlineStr"/>
    </row>
    <row r="113">
      <c r="A113" s="11" t="inlineStr">
        <is>
          <t>LV-19</t>
        </is>
      </c>
      <c r="B113" s="11" t="inlineStr">
        <is>
          <t>Leave management</t>
        </is>
      </c>
      <c r="C113" s="11" t="inlineStr">
        <is>
          <t>9. Suite LV — Leave management</t>
        </is>
      </c>
      <c r="D113" s="11" t="inlineStr">
        <is>
          <t>**Cancel** a PENDING request</t>
        </is>
      </c>
      <c r="E113" s="11" t="inlineStr">
        <is>
          <t>Status = CANCELLED; balance restored; approver notified (NTF-02)</t>
        </is>
      </c>
      <c r="F113" s="12" t="inlineStr">
        <is>
          <t>Not run</t>
        </is>
      </c>
      <c r="G113" s="13" t="b">
        <v>0</v>
      </c>
      <c r="H113" s="12" t="inlineStr"/>
      <c r="I113" s="14" t="n"/>
      <c r="J113" s="12" t="inlineStr"/>
      <c r="K113" s="12" t="inlineStr"/>
    </row>
    <row r="114">
      <c r="A114" s="11" t="inlineStr">
        <is>
          <t>LV-20</t>
        </is>
      </c>
      <c r="B114" s="11" t="inlineStr">
        <is>
          <t>Leave management</t>
        </is>
      </c>
      <c r="C114" s="11" t="inlineStr">
        <is>
          <t>9. Suite LV — Leave management</t>
        </is>
      </c>
      <c r="D114" s="11" t="inlineStr">
        <is>
          <t>Attempt to **cancel an APPROVED** leave that is in the past</t>
        </is>
      </c>
      <c r="E114" s="11" t="inlineStr">
        <is>
          <t>Blocked (or cancellation requires the rules) — balance and attendance must not be left inconsistent</t>
        </is>
      </c>
      <c r="F114" s="12" t="inlineStr">
        <is>
          <t>Not run</t>
        </is>
      </c>
      <c r="G114" s="13" t="b">
        <v>0</v>
      </c>
      <c r="H114" s="12" t="inlineStr"/>
      <c r="I114" s="14" t="n"/>
      <c r="J114" s="12" t="inlineStr"/>
      <c r="K114" s="12" t="inlineStr"/>
    </row>
    <row r="115">
      <c r="A115" s="11" t="inlineStr">
        <is>
          <t>LV-21</t>
        </is>
      </c>
      <c r="B115" s="11" t="inlineStr">
        <is>
          <t>Leave management</t>
        </is>
      </c>
      <c r="C115" s="11" t="inlineStr">
        <is>
          <t>9. Suite LV — Leave management</t>
        </is>
      </c>
      <c r="D115" s="11" t="inlineStr">
        <is>
          <t>Priya opens **Approvals**; sees Rahul's pending request</t>
        </is>
      </c>
      <c r="E115" s="11" t="inlineStr">
        <is>
          <t>Visible; shows dates, days, type, reason, attachment</t>
        </is>
      </c>
      <c r="F115" s="12" t="inlineStr">
        <is>
          <t>Not run</t>
        </is>
      </c>
      <c r="G115" s="13" t="b">
        <v>0</v>
      </c>
      <c r="H115" s="12" t="inlineStr"/>
      <c r="I115" s="14" t="n"/>
      <c r="J115" s="12" t="inlineStr"/>
      <c r="K115" s="12" t="inlineStr"/>
    </row>
    <row r="116">
      <c r="A116" s="11" t="inlineStr">
        <is>
          <t>LV-22</t>
        </is>
      </c>
      <c r="B116" s="11" t="inlineStr">
        <is>
          <t>Leave management</t>
        </is>
      </c>
      <c r="C116" s="11" t="inlineStr">
        <is>
          <t>9. Suite LV — Leave management</t>
        </is>
      </c>
      <c r="D116" s="11" t="inlineStr">
        <is>
          <t>Priya **approves** Rahul's request (L1, or L2 if two-level chain)</t>
        </is>
      </c>
      <c r="E116" s="11" t="inlineStr">
        <is>
          <t>Status moves to APPROVED (or to L2 pending); Rahul notified</t>
        </is>
      </c>
      <c r="F116" s="12" t="inlineStr">
        <is>
          <t>Not run</t>
        </is>
      </c>
      <c r="G116" s="13" t="b">
        <v>0</v>
      </c>
      <c r="H116" s="12" t="inlineStr"/>
      <c r="I116" s="14" t="n"/>
      <c r="J116" s="12" t="inlineStr"/>
      <c r="K116" s="12" t="inlineStr"/>
    </row>
    <row r="117">
      <c r="A117" s="11" t="inlineStr">
        <is>
          <t>LV-23</t>
        </is>
      </c>
      <c r="B117" s="11" t="inlineStr">
        <is>
          <t>Leave management</t>
        </is>
      </c>
      <c r="C117" s="11" t="inlineStr">
        <is>
          <t>9. Suite LV — Leave management</t>
        </is>
      </c>
      <c r="D117" s="11" t="inlineStr">
        <is>
          <t>Priya **rejects** another request with a reason</t>
        </is>
      </c>
      <c r="E117" s="11" t="inlineStr">
        <is>
          <t>Status REJECTED; balance restored; Rahul sees the reason</t>
        </is>
      </c>
      <c r="F117" s="12" t="inlineStr">
        <is>
          <t>Not run</t>
        </is>
      </c>
      <c r="G117" s="13" t="b">
        <v>0</v>
      </c>
      <c r="H117" s="12" t="inlineStr"/>
      <c r="I117" s="14" t="n"/>
      <c r="J117" s="12" t="inlineStr"/>
      <c r="K117" s="12" t="inlineStr"/>
    </row>
    <row r="118">
      <c r="A118" s="11" t="inlineStr">
        <is>
          <t>LV-24</t>
        </is>
      </c>
      <c r="B118" s="11" t="inlineStr">
        <is>
          <t>Leave management</t>
        </is>
      </c>
      <c r="C118" s="11" t="inlineStr">
        <is>
          <t>9. Suite LV — Leave management</t>
        </is>
      </c>
      <c r="D118" s="11" t="inlineStr">
        <is>
          <t>Priya tries to approve a request **outside her reporting line** (by direct URL / id)</t>
        </is>
      </c>
      <c r="E118" s="11" t="inlineStr">
        <is>
          <t>Refused (403)</t>
        </is>
      </c>
      <c r="F118" s="12" t="inlineStr">
        <is>
          <t>Not run</t>
        </is>
      </c>
      <c r="G118" s="13" t="b">
        <v>0</v>
      </c>
      <c r="H118" s="12" t="inlineStr"/>
      <c r="I118" s="14" t="n"/>
      <c r="J118" s="12" t="inlineStr"/>
      <c r="K118" s="12" t="inlineStr"/>
    </row>
    <row r="119">
      <c r="A119" s="11" t="inlineStr">
        <is>
          <t>LV-25</t>
        </is>
      </c>
      <c r="B119" s="11" t="inlineStr">
        <is>
          <t>Leave management</t>
        </is>
      </c>
      <c r="C119" s="11" t="inlineStr">
        <is>
          <t>9. Suite LV — Leave management</t>
        </is>
      </c>
      <c r="D119" s="11" t="inlineStr">
        <is>
          <t>Approval auto-escalation: leave one L1 request untouched past the escalation timer</t>
        </is>
      </c>
      <c r="E119" s="11" t="inlineStr">
        <is>
          <t>Escalates to the next approver (verify in NTF log and request timeline); requires preview worker running</t>
        </is>
      </c>
      <c r="F119" s="12" t="inlineStr">
        <is>
          <t>Not run</t>
        </is>
      </c>
      <c r="G119" s="13" t="b">
        <v>0</v>
      </c>
      <c r="H119" s="12" t="inlineStr"/>
      <c r="I119" s="14" t="n"/>
      <c r="J119" s="12" t="inlineStr"/>
      <c r="K119" s="12" t="inlineStr"/>
    </row>
    <row r="120">
      <c r="A120" s="11" t="inlineStr">
        <is>
          <t>LV-26</t>
        </is>
      </c>
      <c r="B120" s="11" t="inlineStr">
        <is>
          <t>Leave management</t>
        </is>
      </c>
      <c r="C120" s="11" t="inlineStr">
        <is>
          <t>9. Suite LV — Leave management</t>
        </is>
      </c>
      <c r="D120" s="11" t="inlineStr">
        <is>
          <t>Priya views **Team Calendar**</t>
        </is>
      </c>
      <c r="E120" s="11" t="inlineStr">
        <is>
          <t>Her reports' leave shown on a calendar with holidays marked</t>
        </is>
      </c>
      <c r="F120" s="12" t="inlineStr">
        <is>
          <t>Not run</t>
        </is>
      </c>
      <c r="G120" s="13" t="b">
        <v>0</v>
      </c>
      <c r="H120" s="12" t="inlineStr"/>
      <c r="I120" s="14" t="n"/>
      <c r="J120" s="12" t="inlineStr"/>
      <c r="K120" s="12" t="inlineStr"/>
    </row>
    <row r="121">
      <c r="A121" s="11" t="inlineStr">
        <is>
          <t>LV-27</t>
        </is>
      </c>
      <c r="B121" s="11" t="inlineStr">
        <is>
          <t>Leave management</t>
        </is>
      </c>
      <c r="C121" s="11" t="inlineStr">
        <is>
          <t>9. Suite LV — Leave management</t>
        </is>
      </c>
      <c r="D121" s="11" t="inlineStr">
        <is>
          <t>Priya views **Team Balances**</t>
        </is>
      </c>
      <c r="E121" s="11" t="inlineStr">
        <is>
          <t>Her reports' balances per type; she cannot see employees outside her team</t>
        </is>
      </c>
      <c r="F121" s="12" t="inlineStr">
        <is>
          <t>Not run</t>
        </is>
      </c>
      <c r="G121" s="13" t="b">
        <v>0</v>
      </c>
      <c r="H121" s="12" t="inlineStr"/>
      <c r="I121" s="14" t="n"/>
      <c r="J121" s="12" t="inlineStr"/>
      <c r="K121" s="12" t="inlineStr"/>
    </row>
    <row r="122">
      <c r="A122" s="11" t="inlineStr">
        <is>
          <t>LV-28</t>
        </is>
      </c>
      <c r="B122" s="11" t="inlineStr">
        <is>
          <t>Leave management</t>
        </is>
      </c>
      <c r="C122" s="11" t="inlineStr">
        <is>
          <t>9. Suite LV — Leave management</t>
        </is>
      </c>
      <c r="D122" s="11" t="inlineStr">
        <is>
          <t>Priya applies **balance adjustment** (if she has the permission) or is refused</t>
        </is>
      </c>
      <c r="E122" s="11" t="inlineStr">
        <is>
          <t>Behaviour matches the matrix (RBAC-14)</t>
        </is>
      </c>
      <c r="F122" s="12" t="inlineStr">
        <is>
          <t>Not run</t>
        </is>
      </c>
      <c r="G122" s="13" t="b">
        <v>0</v>
      </c>
      <c r="H122" s="12" t="inlineStr"/>
      <c r="I122" s="14" t="n"/>
      <c r="J122" s="12" t="inlineStr"/>
      <c r="K122" s="12" t="inlineStr"/>
    </row>
    <row r="123">
      <c r="A123" s="11" t="inlineStr">
        <is>
          <t>LV-29</t>
        </is>
      </c>
      <c r="B123" s="11" t="inlineStr">
        <is>
          <t>Leave management</t>
        </is>
      </c>
      <c r="C123" s="11" t="inlineStr">
        <is>
          <t>9. Suite LV — Leave management</t>
        </is>
      </c>
      <c r="D123" s="11" t="inlineStr">
        <is>
          <t>HR Manager opens **All Requests**, filters by department and status</t>
        </is>
      </c>
      <c r="E123" s="11" t="inlineStr">
        <is>
          <t>Company-wide list; filters work</t>
        </is>
      </c>
      <c r="F123" s="12" t="inlineStr">
        <is>
          <t>Not run</t>
        </is>
      </c>
      <c r="G123" s="13" t="b">
        <v>0</v>
      </c>
      <c r="H123" s="12" t="inlineStr"/>
      <c r="I123" s="14" t="n"/>
      <c r="J123" s="12" t="inlineStr"/>
      <c r="K123" s="12" t="inlineStr"/>
    </row>
    <row r="124">
      <c r="A124" s="11" t="inlineStr">
        <is>
          <t>LV-30</t>
        </is>
      </c>
      <c r="B124" s="11" t="inlineStr">
        <is>
          <t>Leave management</t>
        </is>
      </c>
      <c r="C124" s="11" t="inlineStr">
        <is>
          <t>9. Suite LV — Leave management</t>
        </is>
      </c>
      <c r="D124" s="11" t="inlineStr">
        <is>
          <t>HR Manager makes a **balance adjustment** (+2 CL, reason "carry-forward") and then opens **Balance Ledger**</t>
        </is>
      </c>
      <c r="E124" s="11" t="inlineStr">
        <is>
          <t>Adjustment appears in the ledger with reason, actor and timestamp. Auditor can view the ledger but not adjust</t>
        </is>
      </c>
      <c r="F124" s="12" t="inlineStr">
        <is>
          <t>Not run</t>
        </is>
      </c>
      <c r="G124" s="13" t="b">
        <v>0</v>
      </c>
      <c r="H124" s="12" t="inlineStr"/>
      <c r="I124" s="14" t="n"/>
      <c r="J124" s="12" t="inlineStr"/>
      <c r="K124" s="12" t="inlineStr"/>
    </row>
    <row r="125">
      <c r="A125" s="11" t="inlineStr">
        <is>
          <t>ATT-01</t>
        </is>
      </c>
      <c r="B125" s="11" t="inlineStr">
        <is>
          <t>Attendance</t>
        </is>
      </c>
      <c r="C125" s="11" t="inlineStr">
        <is>
          <t>10. Suite ATT — Attendance &amp; time tracking</t>
        </is>
      </c>
      <c r="D125" s="11" t="inlineStr">
        <is>
          <t>Open **Attendance › My Attendance**; click **Clock in**</t>
        </is>
      </c>
      <c r="E125" s="11" t="inlineStr">
        <is>
          <t>Check-in time recorded (IST display); status = present; button changes to Clock out / Break</t>
        </is>
      </c>
      <c r="F125" s="12" t="inlineStr">
        <is>
          <t>Not run</t>
        </is>
      </c>
      <c r="G125" s="13" t="b">
        <v>0</v>
      </c>
      <c r="H125" s="12" t="inlineStr"/>
      <c r="I125" s="14" t="n"/>
      <c r="J125" s="12" t="inlineStr"/>
      <c r="K125" s="12" t="inlineStr"/>
    </row>
    <row r="126">
      <c r="A126" s="11" t="inlineStr">
        <is>
          <t>ATT-02</t>
        </is>
      </c>
      <c r="B126" s="11" t="inlineStr">
        <is>
          <t>Attendance</t>
        </is>
      </c>
      <c r="C126" s="11" t="inlineStr">
        <is>
          <t>10. Suite ATT — Attendance &amp; time tracking</t>
        </is>
      </c>
      <c r="D126" s="11" t="inlineStr">
        <is>
          <t>Click **Start break**, wait 1–2 min, click **End break**</t>
        </is>
      </c>
      <c r="E126" s="11" t="inlineStr">
        <is>
          <t>Break recorded; worked hours exclude break time</t>
        </is>
      </c>
      <c r="F126" s="12" t="inlineStr">
        <is>
          <t>Not run</t>
        </is>
      </c>
      <c r="G126" s="13" t="b">
        <v>0</v>
      </c>
      <c r="H126" s="12" t="inlineStr"/>
      <c r="I126" s="14" t="n"/>
      <c r="J126" s="12" t="inlineStr"/>
      <c r="K126" s="12" t="inlineStr"/>
    </row>
    <row r="127">
      <c r="A127" s="11" t="inlineStr">
        <is>
          <t>ATT-03</t>
        </is>
      </c>
      <c r="B127" s="11" t="inlineStr">
        <is>
          <t>Attendance</t>
        </is>
      </c>
      <c r="C127" s="11" t="inlineStr">
        <is>
          <t>10. Suite ATT — Attendance &amp; time tracking</t>
        </is>
      </c>
      <c r="D127" s="11" t="inlineStr">
        <is>
          <t>Try **Clock in** twice</t>
        </is>
      </c>
      <c r="E127" s="11" t="inlineStr">
        <is>
          <t>Second attempt refused ("already clocked in")</t>
        </is>
      </c>
      <c r="F127" s="12" t="inlineStr">
        <is>
          <t>Not run</t>
        </is>
      </c>
      <c r="G127" s="13" t="b">
        <v>0</v>
      </c>
      <c r="H127" s="12" t="inlineStr"/>
      <c r="I127" s="14" t="n"/>
      <c r="J127" s="12" t="inlineStr"/>
      <c r="K127" s="12" t="inlineStr"/>
    </row>
    <row r="128">
      <c r="A128" s="11" t="inlineStr">
        <is>
          <t>ATT-04</t>
        </is>
      </c>
      <c r="B128" s="11" t="inlineStr">
        <is>
          <t>Attendance</t>
        </is>
      </c>
      <c r="C128" s="11" t="inlineStr">
        <is>
          <t>10. Suite ATT — Attendance &amp; time tracking</t>
        </is>
      </c>
      <c r="D128" s="11" t="inlineStr">
        <is>
          <t>Try **Clock out** before clocking in</t>
        </is>
      </c>
      <c r="E128" s="11" t="inlineStr">
        <is>
          <t>Refused with a clear message</t>
        </is>
      </c>
      <c r="F128" s="12" t="inlineStr">
        <is>
          <t>Not run</t>
        </is>
      </c>
      <c r="G128" s="13" t="b">
        <v>0</v>
      </c>
      <c r="H128" s="12" t="inlineStr"/>
      <c r="I128" s="14" t="n"/>
      <c r="J128" s="12" t="inlineStr"/>
      <c r="K128" s="12" t="inlineStr"/>
    </row>
    <row r="129">
      <c r="A129" s="11" t="inlineStr">
        <is>
          <t>ATT-05</t>
        </is>
      </c>
      <c r="B129" s="11" t="inlineStr">
        <is>
          <t>Attendance</t>
        </is>
      </c>
      <c r="C129" s="11" t="inlineStr">
        <is>
          <t>10. Suite ATT — Attendance &amp; time tracking</t>
        </is>
      </c>
      <c r="D129" s="11" t="inlineStr">
        <is>
          <t>Try **Start break** while on break</t>
        </is>
      </c>
      <c r="E129" s="11" t="inlineStr">
        <is>
          <t>Refused</t>
        </is>
      </c>
      <c r="F129" s="12" t="inlineStr">
        <is>
          <t>Not run</t>
        </is>
      </c>
      <c r="G129" s="13" t="b">
        <v>0</v>
      </c>
      <c r="H129" s="12" t="inlineStr"/>
      <c r="I129" s="14" t="n"/>
      <c r="J129" s="12" t="inlineStr"/>
      <c r="K129" s="12" t="inlineStr"/>
    </row>
    <row r="130">
      <c r="A130" s="11" t="inlineStr">
        <is>
          <t>ATT-06</t>
        </is>
      </c>
      <c r="B130" s="11" t="inlineStr">
        <is>
          <t>Attendance</t>
        </is>
      </c>
      <c r="C130" s="11" t="inlineStr">
        <is>
          <t>10. Suite ATT — Attendance &amp; time tracking</t>
        </is>
      </c>
      <c r="D130" s="11" t="inlineStr">
        <is>
          <t>Clock in **after shift start + grace** (use a time past 09:10 with shift grace 10)</t>
        </is>
      </c>
      <c r="E130" s="11" t="inlineStr">
        <is>
          <t>Marked **LATE** (grace applied per CFG-06)</t>
        </is>
      </c>
      <c r="F130" s="12" t="inlineStr">
        <is>
          <t>Not run</t>
        </is>
      </c>
      <c r="G130" s="13" t="b">
        <v>0</v>
      </c>
      <c r="H130" s="12" t="inlineStr"/>
      <c r="I130" s="14" t="n"/>
      <c r="J130" s="12" t="inlineStr"/>
      <c r="K130" s="12" t="inlineStr"/>
    </row>
    <row r="131">
      <c r="A131" s="11" t="inlineStr">
        <is>
          <t>ATT-07</t>
        </is>
      </c>
      <c r="B131" s="11" t="inlineStr">
        <is>
          <t>Attendance</t>
        </is>
      </c>
      <c r="C131" s="11" t="inlineStr">
        <is>
          <t>10. Suite ATT — Attendance &amp; time tracking</t>
        </is>
      </c>
      <c r="D131" s="11" t="inlineStr">
        <is>
          <t>Clock out, then open **Today**</t>
        </is>
      </c>
      <c r="E131" s="11" t="inlineStr">
        <is>
          <t>Shows check-in, check-out, break time, worked hours, overtime if beyond target</t>
        </is>
      </c>
      <c r="F131" s="12" t="inlineStr">
        <is>
          <t>Not run</t>
        </is>
      </c>
      <c r="G131" s="13" t="b">
        <v>0</v>
      </c>
      <c r="H131" s="12" t="inlineStr"/>
      <c r="I131" s="14" t="n"/>
      <c r="J131" s="12" t="inlineStr"/>
      <c r="K131" s="12" t="inlineStr"/>
    </row>
    <row r="132">
      <c r="A132" s="11" t="inlineStr">
        <is>
          <t>ATT-08</t>
        </is>
      </c>
      <c r="B132" s="11" t="inlineStr">
        <is>
          <t>Attendance</t>
        </is>
      </c>
      <c r="C132" s="11" t="inlineStr">
        <is>
          <t>10. Suite ATT — Attendance &amp; time tracking</t>
        </is>
      </c>
      <c r="D132" s="11" t="inlineStr">
        <is>
          <t>Open **Calendar** for the month</t>
        </is>
      </c>
      <c r="E132" s="11" t="inlineStr">
        <is>
          <t>Each day coloured by status (present, late, absent, leave, holiday, weekly-off)</t>
        </is>
      </c>
      <c r="F132" s="12" t="inlineStr">
        <is>
          <t>Not run</t>
        </is>
      </c>
      <c r="G132" s="13" t="b">
        <v>0</v>
      </c>
      <c r="H132" s="12" t="inlineStr"/>
      <c r="I132" s="14" t="n"/>
      <c r="J132" s="12" t="inlineStr"/>
      <c r="K132" s="12" t="inlineStr"/>
    </row>
    <row r="133">
      <c r="A133" s="11" t="inlineStr">
        <is>
          <t>ATT-09</t>
        </is>
      </c>
      <c r="B133" s="11" t="inlineStr">
        <is>
          <t>Attendance</t>
        </is>
      </c>
      <c r="C133" s="11" t="inlineStr">
        <is>
          <t>10. Suite ATT — Attendance &amp; time tracking</t>
        </is>
      </c>
      <c r="D133" s="11" t="inlineStr">
        <is>
          <t>Open **Stats**</t>
        </is>
      </c>
      <c r="E133" s="11" t="inlineStr">
        <is>
          <t>Present/absent/late/leave counts and total worked hours match the calendar</t>
        </is>
      </c>
      <c r="F133" s="12" t="inlineStr">
        <is>
          <t>Not run</t>
        </is>
      </c>
      <c r="G133" s="13" t="b">
        <v>0</v>
      </c>
      <c r="H133" s="12" t="inlineStr"/>
      <c r="I133" s="14" t="n"/>
      <c r="J133" s="12" t="inlineStr"/>
      <c r="K133" s="12" t="inlineStr"/>
    </row>
    <row r="134">
      <c r="A134" s="11" t="inlineStr">
        <is>
          <t>ATT-10</t>
        </is>
      </c>
      <c r="B134" s="11" t="inlineStr">
        <is>
          <t>Attendance</t>
        </is>
      </c>
      <c r="C134" s="11" t="inlineStr">
        <is>
          <t>10. Suite ATT — Attendance &amp; time tracking</t>
        </is>
      </c>
      <c r="D134" s="11" t="inlineStr">
        <is>
          <t>Submit a **regularization** request for a missed punch (date within window, with a reason)</t>
        </is>
      </c>
      <c r="E134" s="11" t="inlineStr">
        <is>
          <t>Request PENDING; visible in My Attendance</t>
        </is>
      </c>
      <c r="F134" s="12" t="inlineStr">
        <is>
          <t>Not run</t>
        </is>
      </c>
      <c r="G134" s="13" t="b">
        <v>0</v>
      </c>
      <c r="H134" s="12" t="inlineStr"/>
      <c r="I134" s="14" t="n"/>
      <c r="J134" s="12" t="inlineStr"/>
      <c r="K134" s="12" t="inlineStr"/>
    </row>
    <row r="135">
      <c r="A135" s="11" t="inlineStr">
        <is>
          <t>ATT-11</t>
        </is>
      </c>
      <c r="B135" s="11" t="inlineStr">
        <is>
          <t>Attendance</t>
        </is>
      </c>
      <c r="C135" s="11" t="inlineStr">
        <is>
          <t>10. Suite ATT — Attendance &amp; time tracking</t>
        </is>
      </c>
      <c r="D135" s="11" t="inlineStr">
        <is>
          <t>Submit a regularization for a date **outside the window**</t>
        </is>
      </c>
      <c r="E135" s="11" t="inlineStr">
        <is>
          <t>Refused with a window message</t>
        </is>
      </c>
      <c r="F135" s="12" t="inlineStr">
        <is>
          <t>Not run</t>
        </is>
      </c>
      <c r="G135" s="13" t="b">
        <v>0</v>
      </c>
      <c r="H135" s="12" t="inlineStr"/>
      <c r="I135" s="14" t="n"/>
      <c r="J135" s="12" t="inlineStr"/>
      <c r="K135" s="12" t="inlineStr"/>
    </row>
    <row r="136">
      <c r="A136" s="11" t="inlineStr">
        <is>
          <t>ATT-12</t>
        </is>
      </c>
      <c r="B136" s="11" t="inlineStr">
        <is>
          <t>Attendance</t>
        </is>
      </c>
      <c r="C136" s="11" t="inlineStr">
        <is>
          <t>10. Suite ATT — Attendance &amp; time tracking</t>
        </is>
      </c>
      <c r="D136" s="11" t="inlineStr">
        <is>
          <t>Exceed the **monthly regularization cap**</t>
        </is>
      </c>
      <c r="E136" s="11" t="inlineStr">
        <is>
          <t>Refused with a cap message</t>
        </is>
      </c>
      <c r="F136" s="12" t="inlineStr">
        <is>
          <t>Not run</t>
        </is>
      </c>
      <c r="G136" s="13" t="b">
        <v>0</v>
      </c>
      <c r="H136" s="12" t="inlineStr"/>
      <c r="I136" s="14" t="n"/>
      <c r="J136" s="12" t="inlineStr"/>
      <c r="K136" s="12" t="inlineStr"/>
    </row>
    <row r="137">
      <c r="A137" s="11" t="inlineStr">
        <is>
          <t>ATT-13</t>
        </is>
      </c>
      <c r="B137" s="11" t="inlineStr">
        <is>
          <t>Attendance</t>
        </is>
      </c>
      <c r="C137" s="11" t="inlineStr">
        <is>
          <t>10. Suite ATT — Attendance &amp; time tracking</t>
        </is>
      </c>
      <c r="D137" s="11" t="inlineStr">
        <is>
          <t>Attach **evidence** to a regularization (`regularization/:id/evidence`)</t>
        </is>
      </c>
      <c r="E137" s="11" t="inlineStr">
        <is>
          <t>Upload succeeds; visible to approver (DOC-07)</t>
        </is>
      </c>
      <c r="F137" s="12" t="inlineStr">
        <is>
          <t>Not run</t>
        </is>
      </c>
      <c r="G137" s="13" t="b">
        <v>0</v>
      </c>
      <c r="H137" s="12" t="inlineStr"/>
      <c r="I137" s="14" t="n"/>
      <c r="J137" s="12" t="inlineStr"/>
      <c r="K137" s="12" t="inlineStr"/>
    </row>
    <row r="138">
      <c r="A138" s="11" t="inlineStr">
        <is>
          <t>ATT-14</t>
        </is>
      </c>
      <c r="B138" s="11" t="inlineStr">
        <is>
          <t>Attendance</t>
        </is>
      </c>
      <c r="C138" s="11" t="inlineStr">
        <is>
          <t>10. Suite ATT — Attendance &amp; time tracking</t>
        </is>
      </c>
      <c r="D138" s="11" t="inlineStr">
        <is>
          <t>Cancel own PENDING regularization</t>
        </is>
      </c>
      <c r="E138" s="11" t="inlineStr">
        <is>
          <t>Status CANCELLED</t>
        </is>
      </c>
      <c r="F138" s="12" t="inlineStr">
        <is>
          <t>Not run</t>
        </is>
      </c>
      <c r="G138" s="13" t="b">
        <v>0</v>
      </c>
      <c r="H138" s="12" t="inlineStr"/>
      <c r="I138" s="14" t="n"/>
      <c r="J138" s="12" t="inlineStr"/>
      <c r="K138" s="12" t="inlineStr"/>
    </row>
    <row r="139">
      <c r="A139" s="11" t="inlineStr">
        <is>
          <t>ATT-15</t>
        </is>
      </c>
      <c r="B139" s="11" t="inlineStr">
        <is>
          <t>Attendance</t>
        </is>
      </c>
      <c r="C139" s="11" t="inlineStr">
        <is>
          <t>10. Suite ATT — Attendance &amp; time tracking</t>
        </is>
      </c>
      <c r="D139" s="11" t="inlineStr">
        <is>
          <t>Priya opens **Team** tab</t>
        </is>
      </c>
      <c r="E139" s="11" t="inlineStr">
        <is>
          <t>Roster of her reports with today's status</t>
        </is>
      </c>
      <c r="F139" s="12" t="inlineStr">
        <is>
          <t>Not run</t>
        </is>
      </c>
      <c r="G139" s="13" t="b">
        <v>0</v>
      </c>
      <c r="H139" s="12" t="inlineStr"/>
      <c r="I139" s="14" t="n"/>
      <c r="J139" s="12" t="inlineStr"/>
      <c r="K139" s="12" t="inlineStr"/>
    </row>
    <row r="140">
      <c r="A140" s="11" t="inlineStr">
        <is>
          <t>ATT-16</t>
        </is>
      </c>
      <c r="B140" s="11" t="inlineStr">
        <is>
          <t>Attendance</t>
        </is>
      </c>
      <c r="C140" s="11" t="inlineStr">
        <is>
          <t>10. Suite ATT — Attendance &amp; time tracking</t>
        </is>
      </c>
      <c r="D140" s="11" t="inlineStr">
        <is>
          <t>Priya **manually marks** attendance for Rahul for a past day (e.g. "On duty") with a reason</t>
        </is>
      </c>
      <c r="E140" s="11" t="inlineStr">
        <is>
          <t>Saved; audited (AUD-06)</t>
        </is>
      </c>
      <c r="F140" s="12" t="inlineStr">
        <is>
          <t>Not run</t>
        </is>
      </c>
      <c r="G140" s="13" t="b">
        <v>0</v>
      </c>
      <c r="H140" s="12" t="inlineStr"/>
      <c r="I140" s="14" t="n"/>
      <c r="J140" s="12" t="inlineStr"/>
      <c r="K140" s="12" t="inlineStr"/>
    </row>
    <row r="141">
      <c r="A141" s="11" t="inlineStr">
        <is>
          <t>ATT-17</t>
        </is>
      </c>
      <c r="B141" s="11" t="inlineStr">
        <is>
          <t>Attendance</t>
        </is>
      </c>
      <c r="C141" s="11" t="inlineStr">
        <is>
          <t>10. Suite ATT — Attendance &amp; time tracking</t>
        </is>
      </c>
      <c r="D141" s="11" t="inlineStr">
        <is>
          <t>Priya opens **Approvals** tab; sees Rahul's regularization</t>
        </is>
      </c>
      <c r="E141" s="11" t="inlineStr">
        <is>
          <t>Visible with date, reason, evidence</t>
        </is>
      </c>
      <c r="F141" s="12" t="inlineStr">
        <is>
          <t>Not run</t>
        </is>
      </c>
      <c r="G141" s="13" t="b">
        <v>0</v>
      </c>
      <c r="H141" s="12" t="inlineStr"/>
      <c r="I141" s="14" t="n"/>
      <c r="J141" s="12" t="inlineStr"/>
      <c r="K141" s="12" t="inlineStr"/>
    </row>
    <row r="142">
      <c r="A142" s="11" t="inlineStr">
        <is>
          <t>ATT-18</t>
        </is>
      </c>
      <c r="B142" s="11" t="inlineStr">
        <is>
          <t>Attendance</t>
        </is>
      </c>
      <c r="C142" s="11" t="inlineStr">
        <is>
          <t>10. Suite ATT — Attendance &amp; time tracking</t>
        </is>
      </c>
      <c r="D142" s="11" t="inlineStr">
        <is>
          <t>Priya **approves** the regularization</t>
        </is>
      </c>
      <c r="E142" s="11" t="inlineStr">
        <is>
          <t>Punch/status corrected for that day; Rahul notified</t>
        </is>
      </c>
      <c r="F142" s="12" t="inlineStr">
        <is>
          <t>Not run</t>
        </is>
      </c>
      <c r="G142" s="13" t="b">
        <v>0</v>
      </c>
      <c r="H142" s="12" t="inlineStr"/>
      <c r="I142" s="14" t="n"/>
      <c r="J142" s="12" t="inlineStr"/>
      <c r="K142" s="12" t="inlineStr"/>
    </row>
    <row r="143">
      <c r="A143" s="11" t="inlineStr">
        <is>
          <t>ATT-19</t>
        </is>
      </c>
      <c r="B143" s="11" t="inlineStr">
        <is>
          <t>Attendance</t>
        </is>
      </c>
      <c r="C143" s="11" t="inlineStr">
        <is>
          <t>10. Suite ATT — Attendance &amp; time tracking</t>
        </is>
      </c>
      <c r="D143" s="11" t="inlineStr">
        <is>
          <t>Priya **rejects** another regularization with a reason</t>
        </is>
      </c>
      <c r="E143" s="11" t="inlineStr">
        <is>
          <t>Status REJECTED; reason shown to Rahul</t>
        </is>
      </c>
      <c r="F143" s="12" t="inlineStr">
        <is>
          <t>Not run</t>
        </is>
      </c>
      <c r="G143" s="13" t="b">
        <v>0</v>
      </c>
      <c r="H143" s="12" t="inlineStr"/>
      <c r="I143" s="14" t="n"/>
      <c r="J143" s="12" t="inlineStr"/>
      <c r="K143" s="12" t="inlineStr"/>
    </row>
    <row r="144">
      <c r="A144" s="11" t="inlineStr">
        <is>
          <t>ATT-20</t>
        </is>
      </c>
      <c r="B144" s="11" t="inlineStr">
        <is>
          <t>Attendance</t>
        </is>
      </c>
      <c r="C144" s="11" t="inlineStr">
        <is>
          <t>10. Suite ATT — Attendance &amp; time tracking</t>
        </is>
      </c>
      <c r="D144" s="11" t="inlineStr">
        <is>
          <t>Verify **leave ↔ attendance**: the day covered by Rahul's approved leave (LV-22)</t>
        </is>
      </c>
      <c r="E144" s="11" t="inlineStr">
        <is>
          <t>Attendance shows **ON_LEAVE** for that day</t>
        </is>
      </c>
      <c r="F144" s="12" t="inlineStr">
        <is>
          <t>Not run</t>
        </is>
      </c>
      <c r="G144" s="13" t="b">
        <v>0</v>
      </c>
      <c r="H144" s="12" t="inlineStr"/>
      <c r="I144" s="14" t="n"/>
      <c r="J144" s="12" t="inlineStr"/>
      <c r="K144" s="12" t="inlineStr"/>
    </row>
    <row r="145">
      <c r="A145" s="11" t="inlineStr">
        <is>
          <t>ATT-21</t>
        </is>
      </c>
      <c r="B145" s="11" t="inlineStr">
        <is>
          <t>Attendance</t>
        </is>
      </c>
      <c r="C145" s="11" t="inlineStr">
        <is>
          <t>10. Suite ATT — Attendance &amp; time tracking</t>
        </is>
      </c>
      <c r="D145" s="11" t="inlineStr">
        <is>
          <t>Priya uses **bulk approve** on several pending regularizations</t>
        </is>
      </c>
      <c r="E145" s="11" t="inlineStr">
        <is>
          <t>All selected approved in one action; each audited</t>
        </is>
      </c>
      <c r="F145" s="12" t="inlineStr">
        <is>
          <t>Not run</t>
        </is>
      </c>
      <c r="G145" s="13" t="b">
        <v>0</v>
      </c>
      <c r="H145" s="12" t="inlineStr"/>
      <c r="I145" s="14" t="n"/>
      <c r="J145" s="12" t="inlineStr"/>
      <c r="K145" s="12" t="inlineStr"/>
    </row>
    <row r="146">
      <c r="A146" s="11" t="inlineStr">
        <is>
          <t>ATT-22</t>
        </is>
      </c>
      <c r="B146" s="11" t="inlineStr">
        <is>
          <t>Attendance</t>
        </is>
      </c>
      <c r="C146" s="11" t="inlineStr">
        <is>
          <t>10. Suite ATT — Attendance &amp; time tracking</t>
        </is>
      </c>
      <c r="D146" s="11" t="inlineStr">
        <is>
          <t>Company Admin opens **Settings**; edits shifts and attendance config</t>
        </is>
      </c>
      <c r="E146" s="11" t="inlineStr">
        <is>
          <t>Saved; new rules apply to subsequent punches</t>
        </is>
      </c>
      <c r="F146" s="12" t="inlineStr">
        <is>
          <t>Not run</t>
        </is>
      </c>
      <c r="G146" s="13" t="b">
        <v>0</v>
      </c>
      <c r="H146" s="12" t="inlineStr"/>
      <c r="I146" s="14" t="n"/>
      <c r="J146" s="12" t="inlineStr"/>
      <c r="K146" s="12" t="inlineStr"/>
    </row>
    <row r="147">
      <c r="A147" s="11" t="inlineStr">
        <is>
          <t>ATT-23</t>
        </is>
      </c>
      <c r="B147" s="11" t="inlineStr">
        <is>
          <t>Attendance</t>
        </is>
      </c>
      <c r="C147" s="11" t="inlineStr">
        <is>
          <t>10. Suite ATT — Attendance &amp; time tracking</t>
        </is>
      </c>
      <c r="D147" s="11" t="inlineStr">
        <is>
          <t>Company Admin views **LOP days** report for a month</t>
        </is>
      </c>
      <c r="E147" s="11" t="inlineStr">
        <is>
          <t>LOP days computed from leave and absence; figures plausible vs. ATT-09</t>
        </is>
      </c>
      <c r="F147" s="12" t="inlineStr">
        <is>
          <t>Not run</t>
        </is>
      </c>
      <c r="G147" s="13" t="b">
        <v>0</v>
      </c>
      <c r="H147" s="12" t="inlineStr"/>
      <c r="I147" s="14" t="n"/>
      <c r="J147" s="12" t="inlineStr"/>
      <c r="K147" s="12" t="inlineStr"/>
    </row>
    <row r="148">
      <c r="A148" s="11" t="inlineStr">
        <is>
          <t>ATT-24</t>
        </is>
      </c>
      <c r="B148" s="11" t="inlineStr">
        <is>
          <t>Attendance</t>
        </is>
      </c>
      <c r="C148" s="11" t="inlineStr">
        <is>
          <t>10. Suite ATT — Attendance &amp; time tracking</t>
        </is>
      </c>
      <c r="D148" s="11" t="inlineStr">
        <is>
          <t>**Nightly finalization** (preview box): a day with no punches and no leave for an employee</t>
        </is>
      </c>
      <c r="E148" s="11" t="inlineStr">
        <is>
          <t>Marked genuine **ABSENT** the next morning; a holiday or weekly-off is never marked absent</t>
        </is>
      </c>
      <c r="F148" s="12" t="inlineStr">
        <is>
          <t>Not run</t>
        </is>
      </c>
      <c r="G148" s="13" t="b">
        <v>0</v>
      </c>
      <c r="H148" s="12" t="inlineStr"/>
      <c r="I148" s="14" t="n"/>
      <c r="J148" s="12" t="inlineStr"/>
      <c r="K148" s="12" t="inlineStr"/>
    </row>
    <row r="149">
      <c r="A149" s="11" t="inlineStr">
        <is>
          <t>ATT-25</t>
        </is>
      </c>
      <c r="B149" s="11" t="inlineStr">
        <is>
          <t>Attendance</t>
        </is>
      </c>
      <c r="C149" s="11" t="inlineStr">
        <is>
          <t>10. Suite ATT — Attendance &amp; time tracking</t>
        </is>
      </c>
      <c r="D149" s="11" t="inlineStr">
        <is>
          <t>**Payroll cut-off** auto-resolve: a still-PENDING regularization after cut-off</t>
        </is>
      </c>
      <c r="E149" s="11" t="inlineStr">
        <is>
          <t>Auto-approved or rejected per the tenant's `unactionedBehavior`</t>
        </is>
      </c>
      <c r="F149" s="12" t="inlineStr">
        <is>
          <t>Not run</t>
        </is>
      </c>
      <c r="G149" s="13" t="b">
        <v>0</v>
      </c>
      <c r="H149" s="12" t="inlineStr"/>
      <c r="I149" s="14" t="n"/>
      <c r="J149" s="12" t="inlineStr"/>
      <c r="K149" s="12" t="inlineStr"/>
    </row>
    <row r="150">
      <c r="A150" s="11" t="inlineStr">
        <is>
          <t>ATT-26</t>
        </is>
      </c>
      <c r="B150" s="11" t="inlineStr">
        <is>
          <t>Attendance</t>
        </is>
      </c>
      <c r="C150" s="11" t="inlineStr">
        <is>
          <t>10. Suite ATT — Attendance &amp; time tracking</t>
        </is>
      </c>
      <c r="D150" s="11" t="inlineStr">
        <is>
          <t>Employee with **no shift assigned**, clocks in</t>
        </is>
      </c>
      <c r="E150" s="11" t="inlineStr">
        <is>
          <t>Handled gracefully (default or clear error) — no crash</t>
        </is>
      </c>
      <c r="F150" s="12" t="inlineStr">
        <is>
          <t>Not run</t>
        </is>
      </c>
      <c r="G150" s="13" t="b">
        <v>0</v>
      </c>
      <c r="H150" s="12" t="inlineStr"/>
      <c r="I150" s="14" t="n"/>
      <c r="J150" s="12" t="inlineStr"/>
      <c r="K150" s="12" t="inlineStr"/>
    </row>
    <row r="151">
      <c r="A151" s="11" t="inlineStr">
        <is>
          <t>DASH-01</t>
        </is>
      </c>
      <c r="B151" s="11" t="inlineStr">
        <is>
          <t>Dashboard</t>
        </is>
      </c>
      <c r="C151" s="11" t="inlineStr">
        <is>
          <t>11. Suite DASH — Role-aware dashboard</t>
        </is>
      </c>
      <c r="D151" s="11" t="inlineStr">
        <is>
          <t>Company Admin opens Dashboard</t>
        </is>
      </c>
      <c r="E151" s="11" t="inlineStr">
        <is>
          <t>Company-level tiles (headcount, leave, attendance summary)</t>
        </is>
      </c>
      <c r="F151" s="12" t="inlineStr">
        <is>
          <t>Not run</t>
        </is>
      </c>
      <c r="G151" s="13" t="b">
        <v>0</v>
      </c>
      <c r="H151" s="12" t="inlineStr"/>
      <c r="I151" s="14" t="n"/>
      <c r="J151" s="12" t="inlineStr"/>
      <c r="K151" s="12" t="inlineStr"/>
    </row>
    <row r="152">
      <c r="A152" s="11" t="inlineStr">
        <is>
          <t>DASH-02</t>
        </is>
      </c>
      <c r="B152" s="11" t="inlineStr">
        <is>
          <t>Dashboard</t>
        </is>
      </c>
      <c r="C152" s="11" t="inlineStr">
        <is>
          <t>11. Suite DASH — Role-aware dashboard</t>
        </is>
      </c>
      <c r="D152" s="11" t="inlineStr">
        <is>
          <t>HR Manager opens Dashboard</t>
        </is>
      </c>
      <c r="E152" s="11" t="inlineStr">
        <is>
          <t>HR-relevant tiles (joiners/leavers, pending items)</t>
        </is>
      </c>
      <c r="F152" s="12" t="inlineStr">
        <is>
          <t>Not run</t>
        </is>
      </c>
      <c r="G152" s="13" t="b">
        <v>0</v>
      </c>
      <c r="H152" s="12" t="inlineStr"/>
      <c r="I152" s="14" t="n"/>
      <c r="J152" s="12" t="inlineStr"/>
      <c r="K152" s="12" t="inlineStr"/>
    </row>
    <row r="153">
      <c r="A153" s="11" t="inlineStr">
        <is>
          <t>DASH-03</t>
        </is>
      </c>
      <c r="B153" s="11" t="inlineStr">
        <is>
          <t>Dashboard</t>
        </is>
      </c>
      <c r="C153" s="11" t="inlineStr">
        <is>
          <t>11. Suite DASH — Role-aware dashboard</t>
        </is>
      </c>
      <c r="D153" s="11" t="inlineStr">
        <is>
          <t>Line Manager opens Dashboard</t>
        </is>
      </c>
      <c r="E153" s="11" t="inlineStr">
        <is>
          <t>Team view: pending approvals list with inline Approve / Reject</t>
        </is>
      </c>
      <c r="F153" s="12" t="inlineStr">
        <is>
          <t>Not run</t>
        </is>
      </c>
      <c r="G153" s="13" t="b">
        <v>0</v>
      </c>
      <c r="H153" s="12" t="inlineStr"/>
      <c r="I153" s="14" t="n"/>
      <c r="J153" s="12" t="inlineStr"/>
      <c r="K153" s="12" t="inlineStr"/>
    </row>
    <row r="154">
      <c r="A154" s="11" t="inlineStr">
        <is>
          <t>DASH-04</t>
        </is>
      </c>
      <c r="B154" s="11" t="inlineStr">
        <is>
          <t>Dashboard</t>
        </is>
      </c>
      <c r="C154" s="11" t="inlineStr">
        <is>
          <t>11. Suite DASH — Role-aware dashboard</t>
        </is>
      </c>
      <c r="D154" s="11" t="inlineStr">
        <is>
          <t>Line Manager clicks **Approve** inline on a pending leave</t>
        </is>
      </c>
      <c r="E154" s="11" t="inlineStr">
        <is>
          <t>Action succeeds; whole dashboard refreshes; toast shown</t>
        </is>
      </c>
      <c r="F154" s="12" t="inlineStr">
        <is>
          <t>Not run</t>
        </is>
      </c>
      <c r="G154" s="13" t="b">
        <v>0</v>
      </c>
      <c r="H154" s="12" t="inlineStr"/>
      <c r="I154" s="14" t="n"/>
      <c r="J154" s="12" t="inlineStr"/>
      <c r="K154" s="12" t="inlineStr"/>
    </row>
    <row r="155">
      <c r="A155" s="11" t="inlineStr">
        <is>
          <t>DASH-05</t>
        </is>
      </c>
      <c r="B155" s="11" t="inlineStr">
        <is>
          <t>Dashboard</t>
        </is>
      </c>
      <c r="C155" s="11" t="inlineStr">
        <is>
          <t>11. Suite DASH — Role-aware dashboard</t>
        </is>
      </c>
      <c r="D155" s="11" t="inlineStr">
        <is>
          <t>Employee opens Dashboard</t>
        </is>
      </c>
      <c r="E155" s="11" t="inlineStr">
        <is>
          <t>Own leave balances, own today's attendance, quick actions (Clock in/out, breaks)</t>
        </is>
      </c>
      <c r="F155" s="12" t="inlineStr">
        <is>
          <t>Not run</t>
        </is>
      </c>
      <c r="G155" s="13" t="b">
        <v>0</v>
      </c>
      <c r="H155" s="12" t="inlineStr"/>
      <c r="I155" s="14" t="n"/>
      <c r="J155" s="12" t="inlineStr"/>
      <c r="K155" s="12" t="inlineStr"/>
    </row>
    <row r="156">
      <c r="A156" s="11" t="inlineStr">
        <is>
          <t>DASH-06</t>
        </is>
      </c>
      <c r="B156" s="11" t="inlineStr">
        <is>
          <t>Dashboard</t>
        </is>
      </c>
      <c r="C156" s="11" t="inlineStr">
        <is>
          <t>11. Suite DASH — Role-aware dashboard</t>
        </is>
      </c>
      <c r="D156" s="11" t="inlineStr">
        <is>
          <t>Employee uses **Clock in** from the dashboard card</t>
        </is>
      </c>
      <c r="E156" s="11" t="inlineStr">
        <is>
          <t>Works; card updates; matches ATT-01</t>
        </is>
      </c>
      <c r="F156" s="12" t="inlineStr">
        <is>
          <t>Not run</t>
        </is>
      </c>
      <c r="G156" s="13" t="b">
        <v>0</v>
      </c>
      <c r="H156" s="12" t="inlineStr"/>
      <c r="I156" s="14" t="n"/>
      <c r="J156" s="12" t="inlineStr"/>
      <c r="K156" s="12" t="inlineStr"/>
    </row>
    <row r="157">
      <c r="A157" s="11" t="inlineStr">
        <is>
          <t>DASH-07</t>
        </is>
      </c>
      <c r="B157" s="11" t="inlineStr">
        <is>
          <t>Dashboard</t>
        </is>
      </c>
      <c r="C157" s="11" t="inlineStr">
        <is>
          <t>11. Suite DASH — Role-aware dashboard</t>
        </is>
      </c>
      <c r="D157" s="11" t="inlineStr">
        <is>
          <t>Auditor opens Dashboard</t>
        </is>
      </c>
      <c r="E157" s="11" t="inlineStr">
        <is>
          <t>Read-only; no action buttons</t>
        </is>
      </c>
      <c r="F157" s="12" t="inlineStr">
        <is>
          <t>Not run</t>
        </is>
      </c>
      <c r="G157" s="13" t="b">
        <v>0</v>
      </c>
      <c r="H157" s="12" t="inlineStr"/>
      <c r="I157" s="14" t="n"/>
      <c r="J157" s="12" t="inlineStr"/>
      <c r="K157" s="12" t="inlineStr"/>
    </row>
    <row r="158">
      <c r="A158" s="11" t="inlineStr">
        <is>
          <t>DASH-08</t>
        </is>
      </c>
      <c r="B158" s="11" t="inlineStr">
        <is>
          <t>Dashboard</t>
        </is>
      </c>
      <c r="C158" s="11" t="inlineStr">
        <is>
          <t>11. Suite DASH — Role-aware dashboard</t>
        </is>
      </c>
      <c r="D158" s="11" t="inlineStr">
        <is>
          <t>Dashboard for a **tenant without the Attendance entitlement**</t>
        </is>
      </c>
      <c r="E158" s="11" t="inlineStr">
        <is>
          <t>Attendance card hidden/blocked; no error</t>
        </is>
      </c>
      <c r="F158" s="12" t="inlineStr">
        <is>
          <t>Not run</t>
        </is>
      </c>
      <c r="G158" s="13" t="b">
        <v>0</v>
      </c>
      <c r="H158" s="12" t="inlineStr"/>
      <c r="I158" s="14" t="n"/>
      <c r="J158" s="12" t="inlineStr"/>
      <c r="K158" s="12" t="inlineStr"/>
    </row>
    <row r="159">
      <c r="A159" s="11" t="inlineStr">
        <is>
          <t>DASH-09</t>
        </is>
      </c>
      <c r="B159" s="11" t="inlineStr">
        <is>
          <t>Dashboard</t>
        </is>
      </c>
      <c r="C159" s="11" t="inlineStr">
        <is>
          <t>11. Suite DASH — Role-aware dashboard</t>
        </is>
      </c>
      <c r="D159" s="11" t="inlineStr">
        <is>
          <t>Dashboard on a phone-width viewport</t>
        </is>
      </c>
      <c r="E159" s="11" t="inlineStr">
        <is>
          <t>Cards stack; no horizontal scroll</t>
        </is>
      </c>
      <c r="F159" s="12" t="inlineStr">
        <is>
          <t>Not run</t>
        </is>
      </c>
      <c r="G159" s="13" t="b">
        <v>0</v>
      </c>
      <c r="H159" s="12" t="inlineStr"/>
      <c r="I159" s="14" t="n"/>
      <c r="J159" s="12" t="inlineStr"/>
      <c r="K159" s="12" t="inlineStr"/>
    </row>
    <row r="160">
      <c r="A160" s="11" t="inlineStr">
        <is>
          <t>DASH-10</t>
        </is>
      </c>
      <c r="B160" s="11" t="inlineStr">
        <is>
          <t>Dashboard</t>
        </is>
      </c>
      <c r="C160" s="11" t="inlineStr">
        <is>
          <t>11. Suite DASH — Role-aware dashboard</t>
        </is>
      </c>
      <c r="D160" s="11" t="inlineStr">
        <is>
          <t>Payroll-dependent tiles</t>
        </is>
      </c>
      <c r="E160" s="11" t="inlineStr">
        <is>
          <t>Not shown (Payroll not built — do not demo)</t>
        </is>
      </c>
      <c r="F160" s="12" t="inlineStr">
        <is>
          <t>Not run</t>
        </is>
      </c>
      <c r="G160" s="13" t="b">
        <v>0</v>
      </c>
      <c r="H160" s="12" t="inlineStr"/>
      <c r="I160" s="14" t="n"/>
      <c r="J160" s="12" t="inlineStr"/>
      <c r="K160" s="12" t="inlineStr"/>
    </row>
    <row r="161">
      <c r="A161" s="11" t="inlineStr">
        <is>
          <t>DOC-01</t>
        </is>
      </c>
      <c r="B161" s="11" t="inlineStr">
        <is>
          <t>Documents</t>
        </is>
      </c>
      <c r="C161" s="11" t="inlineStr">
        <is>
          <t>12. Suite DOC — Documents (uploads, malware scan, download, delete)</t>
        </is>
      </c>
      <c r="D161" s="11" t="inlineStr">
        <is>
          <t>HR Manager opens Rahul → **Documents** → uploads a PDF (≤10 MB) typed as "Offer letter"</t>
        </is>
      </c>
      <c r="E161" s="11" t="inlineStr">
        <is>
          <t>Upload accepted; status shows **PENDING scan**, then **CLEAN** once scanned</t>
        </is>
      </c>
      <c r="F161" s="12" t="inlineStr">
        <is>
          <t>Not run</t>
        </is>
      </c>
      <c r="G161" s="13" t="b">
        <v>0</v>
      </c>
      <c r="H161" s="12" t="inlineStr"/>
      <c r="I161" s="14" t="n"/>
      <c r="J161" s="12" t="inlineStr"/>
      <c r="K161" s="12" t="inlineStr"/>
    </row>
    <row r="162">
      <c r="A162" s="11" t="inlineStr">
        <is>
          <t>DOC-02</t>
        </is>
      </c>
      <c r="B162" s="11" t="inlineStr">
        <is>
          <t>Documents</t>
        </is>
      </c>
      <c r="C162" s="11" t="inlineStr">
        <is>
          <t>12. Suite DOC — Documents (uploads, malware scan, download, delete)</t>
        </is>
      </c>
      <c r="D162" s="11" t="inlineStr">
        <is>
          <t>Try to **download** the document while it is still pending scan</t>
        </is>
      </c>
      <c r="E162" s="11" t="inlineStr">
        <is>
          <t>Download link not issued (fail-closed)</t>
        </is>
      </c>
      <c r="F162" s="12" t="inlineStr">
        <is>
          <t>Not run</t>
        </is>
      </c>
      <c r="G162" s="13" t="b">
        <v>0</v>
      </c>
      <c r="H162" s="12" t="inlineStr"/>
      <c r="I162" s="14" t="n"/>
      <c r="J162" s="12" t="inlineStr"/>
      <c r="K162" s="12" t="inlineStr"/>
    </row>
    <row r="163">
      <c r="A163" s="11" t="inlineStr">
        <is>
          <t>DOC-03</t>
        </is>
      </c>
      <c r="B163" s="11" t="inlineStr">
        <is>
          <t>Documents</t>
        </is>
      </c>
      <c r="C163" s="11" t="inlineStr">
        <is>
          <t>12. Suite DOC — Documents (uploads, malware scan, download, delete)</t>
        </is>
      </c>
      <c r="D163" s="11" t="inlineStr">
        <is>
          <t>Upload a file **larger than 10 MB**</t>
        </is>
      </c>
      <c r="E163" s="11" t="inlineStr">
        <is>
          <t>Rejected with a size message before storage</t>
        </is>
      </c>
      <c r="F163" s="12" t="inlineStr">
        <is>
          <t>Not run</t>
        </is>
      </c>
      <c r="G163" s="13" t="b">
        <v>0</v>
      </c>
      <c r="H163" s="12" t="inlineStr"/>
      <c r="I163" s="14" t="n"/>
      <c r="J163" s="12" t="inlineStr"/>
      <c r="K163" s="12" t="inlineStr"/>
    </row>
    <row r="164">
      <c r="A164" s="11" t="inlineStr">
        <is>
          <t>DOC-04</t>
        </is>
      </c>
      <c r="B164" s="11" t="inlineStr">
        <is>
          <t>Documents</t>
        </is>
      </c>
      <c r="C164" s="11" t="inlineStr">
        <is>
          <t>12. Suite DOC — Documents (uploads, malware scan, download, delete)</t>
        </is>
      </c>
      <c r="D164" s="11" t="inlineStr">
        <is>
          <t>Upload a **disallowed type** (e.g. .exe, or .zip)</t>
        </is>
      </c>
      <c r="E164" s="11" t="inlineStr">
        <is>
          <t>Rejected (MIME allow-list)</t>
        </is>
      </c>
      <c r="F164" s="12" t="inlineStr">
        <is>
          <t>Not run</t>
        </is>
      </c>
      <c r="G164" s="13" t="b">
        <v>0</v>
      </c>
      <c r="H164" s="12" t="inlineStr"/>
      <c r="I164" s="14" t="n"/>
      <c r="J164" s="12" t="inlineStr"/>
      <c r="K164" s="12" t="inlineStr"/>
    </row>
    <row r="165">
      <c r="A165" s="11" t="inlineStr">
        <is>
          <t>DOC-05</t>
        </is>
      </c>
      <c r="B165" s="11" t="inlineStr">
        <is>
          <t>Documents</t>
        </is>
      </c>
      <c r="C165" s="11" t="inlineStr">
        <is>
          <t>12. Suite DOC — Documents (uploads, malware scan, download, delete)</t>
        </is>
      </c>
      <c r="D165" s="11" t="inlineStr">
        <is>
          <t>Upload a **.txt renamed to .pdf** (magic-byte mismatch)</t>
        </is>
      </c>
      <c r="E165" s="11" t="inlineStr">
        <is>
          <t>Rejected</t>
        </is>
      </c>
      <c r="F165" s="12" t="inlineStr">
        <is>
          <t>Not run</t>
        </is>
      </c>
      <c r="G165" s="13" t="b">
        <v>0</v>
      </c>
      <c r="H165" s="12" t="inlineStr"/>
      <c r="I165" s="14" t="n"/>
      <c r="J165" s="12" t="inlineStr"/>
      <c r="K165" s="12" t="inlineStr"/>
    </row>
    <row r="166">
      <c r="A166" s="11" t="inlineStr">
        <is>
          <t>DOC-06</t>
        </is>
      </c>
      <c r="B166" s="11" t="inlineStr">
        <is>
          <t>Documents</t>
        </is>
      </c>
      <c r="C166" s="11" t="inlineStr">
        <is>
          <t>12. Suite DOC — Documents (uploads, malware scan, download, delete)</t>
        </is>
      </c>
      <c r="D166" s="11" t="inlineStr">
        <is>
          <t>Rahul uploads a leave attachment on a request (LV-16)</t>
        </is>
      </c>
      <c r="E166" s="11" t="inlineStr">
        <is>
          <t>Visible to Priya when approving; Rahul can download his own</t>
        </is>
      </c>
      <c r="F166" s="12" t="inlineStr">
        <is>
          <t>Not run</t>
        </is>
      </c>
      <c r="G166" s="13" t="b">
        <v>0</v>
      </c>
      <c r="H166" s="12" t="inlineStr"/>
      <c r="I166" s="14" t="n"/>
      <c r="J166" s="12" t="inlineStr"/>
      <c r="K166" s="12" t="inlineStr"/>
    </row>
    <row r="167">
      <c r="A167" s="11" t="inlineStr">
        <is>
          <t>DOC-07</t>
        </is>
      </c>
      <c r="B167" s="11" t="inlineStr">
        <is>
          <t>Documents</t>
        </is>
      </c>
      <c r="C167" s="11" t="inlineStr">
        <is>
          <t>12. Suite DOC — Documents (uploads, malware scan, download, delete)</t>
        </is>
      </c>
      <c r="D167" s="11" t="inlineStr">
        <is>
          <t>Priya downloads Rahul's regularization evidence</t>
        </is>
      </c>
      <c r="E167" s="11" t="inlineStr">
        <is>
          <t>Works (subject employee's scope)</t>
        </is>
      </c>
      <c r="F167" s="12" t="inlineStr">
        <is>
          <t>Not run</t>
        </is>
      </c>
      <c r="G167" s="13" t="b">
        <v>0</v>
      </c>
      <c r="H167" s="12" t="inlineStr"/>
      <c r="I167" s="14" t="n"/>
      <c r="J167" s="12" t="inlineStr"/>
      <c r="K167" s="12" t="inlineStr"/>
    </row>
    <row r="168">
      <c r="A168" s="11" t="inlineStr">
        <is>
          <t>DOC-08</t>
        </is>
      </c>
      <c r="B168" s="11" t="inlineStr">
        <is>
          <t>Documents</t>
        </is>
      </c>
      <c r="C168" s="11" t="inlineStr">
        <is>
          <t>12. Suite DOC — Documents (uploads, malware scan, download, delete)</t>
        </is>
      </c>
      <c r="D168" s="11" t="inlineStr">
        <is>
          <t>Download a clean document</t>
        </is>
      </c>
      <c r="E168" s="11" t="inlineStr">
        <is>
          <t>File downloads with `attachment` disposition; filename preserved</t>
        </is>
      </c>
      <c r="F168" s="12" t="inlineStr">
        <is>
          <t>Not run</t>
        </is>
      </c>
      <c r="G168" s="13" t="b">
        <v>0</v>
      </c>
      <c r="H168" s="12" t="inlineStr"/>
      <c r="I168" s="14" t="n"/>
      <c r="J168" s="12" t="inlineStr"/>
      <c r="K168" s="12" t="inlineStr"/>
    </row>
    <row r="169">
      <c r="A169" s="11" t="inlineStr">
        <is>
          <t>DOC-09</t>
        </is>
      </c>
      <c r="B169" s="11" t="inlineStr">
        <is>
          <t>Documents</t>
        </is>
      </c>
      <c r="C169" s="11" t="inlineStr">
        <is>
          <t>12. Suite DOC — Documents (uploads, malware scan, download, delete)</t>
        </is>
      </c>
      <c r="D169" s="11" t="inlineStr">
        <is>
          <t>Employee tries to open **another employee's** document by ID in the URL</t>
        </is>
      </c>
      <c r="E169" s="11" t="inlineStr">
        <is>
          <t>Refused (403/404)</t>
        </is>
      </c>
      <c r="F169" s="12" t="inlineStr">
        <is>
          <t>Not run</t>
        </is>
      </c>
      <c r="G169" s="13" t="b">
        <v>0</v>
      </c>
      <c r="H169" s="12" t="inlineStr"/>
      <c r="I169" s="14" t="n"/>
      <c r="J169" s="12" t="inlineStr"/>
      <c r="K169" s="12" t="inlineStr"/>
    </row>
    <row r="170">
      <c r="A170" s="11" t="inlineStr">
        <is>
          <t>DOC-10</t>
        </is>
      </c>
      <c r="B170" s="11" t="inlineStr">
        <is>
          <t>Documents</t>
        </is>
      </c>
      <c r="C170" s="11" t="inlineStr">
        <is>
          <t>12. Suite DOC — Documents (uploads, malware scan, download, delete)</t>
        </is>
      </c>
      <c r="D170" s="11" t="inlineStr">
        <is>
          <t>Upload the **EICAR test string** as a .txt/.pdf</t>
        </is>
      </c>
      <c r="E170" s="11" t="inlineStr">
        <is>
          <t>Flagged as malware; status **INFECTED/BLOCKED**; download refused; HR notified (NTF)</t>
        </is>
      </c>
      <c r="F170" s="12" t="inlineStr">
        <is>
          <t>Not run</t>
        </is>
      </c>
      <c r="G170" s="13" t="b">
        <v>0</v>
      </c>
      <c r="H170" s="12" t="inlineStr"/>
      <c r="I170" s="14" t="n"/>
      <c r="J170" s="12" t="inlineStr"/>
      <c r="K170" s="12" t="inlineStr"/>
    </row>
    <row r="171">
      <c r="A171" s="11" t="inlineStr">
        <is>
          <t>DOC-11</t>
        </is>
      </c>
      <c r="B171" s="11" t="inlineStr">
        <is>
          <t>Documents</t>
        </is>
      </c>
      <c r="C171" s="11" t="inlineStr">
        <is>
          <t>12. Suite DOC — Documents (uploads, malware scan, download, delete)</t>
        </is>
      </c>
      <c r="D171" s="11" t="inlineStr">
        <is>
          <t>Change a document's **category** (`Patch :id/category`)</t>
        </is>
      </c>
      <c r="E171" s="11" t="inlineStr">
        <is>
          <t>Saved</t>
        </is>
      </c>
      <c r="F171" s="12" t="inlineStr">
        <is>
          <t>Not run</t>
        </is>
      </c>
      <c r="G171" s="13" t="b">
        <v>0</v>
      </c>
      <c r="H171" s="12" t="inlineStr"/>
      <c r="I171" s="14" t="n"/>
      <c r="J171" s="12" t="inlineStr"/>
      <c r="K171" s="12" t="inlineStr"/>
    </row>
    <row r="172">
      <c r="A172" s="11" t="inlineStr">
        <is>
          <t>DOC-12</t>
        </is>
      </c>
      <c r="B172" s="11" t="inlineStr">
        <is>
          <t>Documents</t>
        </is>
      </c>
      <c r="C172" s="11" t="inlineStr">
        <is>
          <t>12. Suite DOC — Documents (uploads, malware scan, download, delete)</t>
        </is>
      </c>
      <c r="D172" s="11" t="inlineStr">
        <is>
          <t>**Delete** a document (soft delete)</t>
        </is>
      </c>
      <c r="E172" s="11" t="inlineStr">
        <is>
          <t>Disappears from the list; row remains in the database (soft delete); action audited</t>
        </is>
      </c>
      <c r="F172" s="12" t="inlineStr">
        <is>
          <t>Not run</t>
        </is>
      </c>
      <c r="G172" s="13" t="b">
        <v>0</v>
      </c>
      <c r="H172" s="12" t="inlineStr"/>
      <c r="I172" s="14" t="n"/>
      <c r="J172" s="12" t="inlineStr"/>
      <c r="K172" s="12" t="inlineStr"/>
    </row>
    <row r="173">
      <c r="A173" s="11" t="inlineStr">
        <is>
          <t>DOC-13</t>
        </is>
      </c>
      <c r="B173" s="11" t="inlineStr">
        <is>
          <t>Documents</t>
        </is>
      </c>
      <c r="C173" s="11" t="inlineStr">
        <is>
          <t>12. Suite DOC — Documents (uploads, malware scan, download, delete)</t>
        </is>
      </c>
      <c r="D173" s="11" t="inlineStr">
        <is>
          <t>Employee tries to delete a document they don't own</t>
        </is>
      </c>
      <c r="E173" s="11" t="inlineStr">
        <is>
          <t>Refused</t>
        </is>
      </c>
      <c r="F173" s="12" t="inlineStr">
        <is>
          <t>Not run</t>
        </is>
      </c>
      <c r="G173" s="13" t="b">
        <v>0</v>
      </c>
      <c r="H173" s="12" t="inlineStr"/>
      <c r="I173" s="14" t="n"/>
      <c r="J173" s="12" t="inlineStr"/>
      <c r="K173" s="12" t="inlineStr"/>
    </row>
    <row r="174">
      <c r="A174" s="11" t="inlineStr">
        <is>
          <t>DOC-14</t>
        </is>
      </c>
      <c r="B174" s="11" t="inlineStr">
        <is>
          <t>Documents</t>
        </is>
      </c>
      <c r="C174" s="11" t="inlineStr">
        <is>
          <t>12. Suite DOC — Documents (uploads, malware scan, download, delete)</t>
        </is>
      </c>
      <c r="D174" s="11" t="inlineStr">
        <is>
          <t>Auditor views documents</t>
        </is>
      </c>
      <c r="E174" s="11" t="inlineStr">
        <is>
          <t>Read-only; cannot upload or delete</t>
        </is>
      </c>
      <c r="F174" s="12" t="inlineStr">
        <is>
          <t>Not run</t>
        </is>
      </c>
      <c r="G174" s="13" t="b">
        <v>0</v>
      </c>
      <c r="H174" s="12" t="inlineStr"/>
      <c r="I174" s="14" t="n"/>
      <c r="J174" s="12" t="inlineStr"/>
      <c r="K174" s="12" t="inlineStr"/>
    </row>
    <row r="175">
      <c r="A175" s="11" t="inlineStr">
        <is>
          <t>NTF-01</t>
        </is>
      </c>
      <c r="B175" s="11" t="inlineStr">
        <is>
          <t>Notifications</t>
        </is>
      </c>
      <c r="C175" s="11" t="inlineStr">
        <is>
          <t>13. Suite NTF — Notifications &amp; Email log</t>
        </is>
      </c>
      <c r="D175" s="11" t="inlineStr">
        <is>
          <t>Rahul applies for leave</t>
        </is>
      </c>
      <c r="E175" s="11" t="inlineStr">
        <is>
          <t>A notification row is created for Priya (QUEUED → SENT)</t>
        </is>
      </c>
      <c r="F175" s="12" t="inlineStr">
        <is>
          <t>Not run</t>
        </is>
      </c>
      <c r="G175" s="13" t="b">
        <v>0</v>
      </c>
      <c r="H175" s="12" t="inlineStr"/>
      <c r="I175" s="14" t="n"/>
      <c r="J175" s="12" t="inlineStr"/>
      <c r="K175" s="12" t="inlineStr"/>
    </row>
    <row r="176">
      <c r="A176" s="11" t="inlineStr">
        <is>
          <t>NTF-02</t>
        </is>
      </c>
      <c r="B176" s="11" t="inlineStr">
        <is>
          <t>Notifications</t>
        </is>
      </c>
      <c r="C176" s="11" t="inlineStr">
        <is>
          <t>13. Suite NTF — Notifications &amp; Email log</t>
        </is>
      </c>
      <c r="D176" s="11" t="inlineStr">
        <is>
          <t>Priya approves</t>
        </is>
      </c>
      <c r="E176" s="11" t="inlineStr">
        <is>
          <t>A notification for Rahul appears in the Email log</t>
        </is>
      </c>
      <c r="F176" s="12" t="inlineStr">
        <is>
          <t>Not run</t>
        </is>
      </c>
      <c r="G176" s="13" t="b">
        <v>0</v>
      </c>
      <c r="H176" s="12" t="inlineStr"/>
      <c r="I176" s="14" t="n"/>
      <c r="J176" s="12" t="inlineStr"/>
      <c r="K176" s="12" t="inlineStr"/>
    </row>
    <row r="177">
      <c r="A177" s="11" t="inlineStr">
        <is>
          <t>NTF-03</t>
        </is>
      </c>
      <c r="B177" s="11" t="inlineStr">
        <is>
          <t>Notifications</t>
        </is>
      </c>
      <c r="C177" s="11" t="inlineStr">
        <is>
          <t>13. Suite NTF — Notifications &amp; Email log</t>
        </is>
      </c>
      <c r="D177" s="11" t="inlineStr">
        <is>
          <t>Trigger the **same** notification twice (e.g. double-click approve)</t>
        </is>
      </c>
      <c r="E177" s="11" t="inlineStr">
        <is>
          <t>Only one email row per recipient (dedupe)</t>
        </is>
      </c>
      <c r="F177" s="12" t="inlineStr">
        <is>
          <t>Not run</t>
        </is>
      </c>
      <c r="G177" s="13" t="b">
        <v>0</v>
      </c>
      <c r="H177" s="12" t="inlineStr"/>
      <c r="I177" s="14" t="n"/>
      <c r="J177" s="12" t="inlineStr"/>
      <c r="K177" s="12" t="inlineStr"/>
    </row>
    <row r="178">
      <c r="A178" s="11" t="inlineStr">
        <is>
          <t>NTF-04</t>
        </is>
      </c>
      <c r="B178" s="11" t="inlineStr">
        <is>
          <t>Notifications</t>
        </is>
      </c>
      <c r="C178" s="11" t="inlineStr">
        <is>
          <t>13. Suite NTF — Notifications &amp; Email log</t>
        </is>
      </c>
      <c r="D178" s="11" t="inlineStr">
        <is>
          <t>Open **Email log** (`/notifications`) as Company Admin</t>
        </is>
      </c>
      <c r="E178" s="11" t="inlineStr">
        <is>
          <t>Rows listed with recipient, template, status, time</t>
        </is>
      </c>
      <c r="F178" s="12" t="inlineStr">
        <is>
          <t>Not run</t>
        </is>
      </c>
      <c r="G178" s="13" t="b">
        <v>0</v>
      </c>
      <c r="H178" s="12" t="inlineStr"/>
      <c r="I178" s="14" t="n"/>
      <c r="J178" s="12" t="inlineStr"/>
      <c r="K178" s="12" t="inlineStr"/>
    </row>
    <row r="179">
      <c r="A179" s="11" t="inlineStr">
        <is>
          <t>NTF-05</t>
        </is>
      </c>
      <c r="B179" s="11" t="inlineStr">
        <is>
          <t>Notifications</t>
        </is>
      </c>
      <c r="C179" s="11" t="inlineStr">
        <is>
          <t>13. Suite NTF — Notifications &amp; Email log</t>
        </is>
      </c>
      <c r="D179" s="11" t="inlineStr">
        <is>
          <t>Filter log by status **FAILED**</t>
        </is>
      </c>
      <c r="E179" s="11" t="inlineStr">
        <is>
          <t>Lists failed sends with their error</t>
        </is>
      </c>
      <c r="F179" s="12" t="inlineStr">
        <is>
          <t>Not run</t>
        </is>
      </c>
      <c r="G179" s="13" t="b">
        <v>0</v>
      </c>
      <c r="H179" s="12" t="inlineStr"/>
      <c r="I179" s="14" t="n"/>
      <c r="J179" s="12" t="inlineStr"/>
      <c r="K179" s="12" t="inlineStr"/>
    </row>
    <row r="180">
      <c r="A180" s="11" t="inlineStr">
        <is>
          <t>NTF-06</t>
        </is>
      </c>
      <c r="B180" s="11" t="inlineStr">
        <is>
          <t>Notifications</t>
        </is>
      </c>
      <c r="C180" s="11" t="inlineStr">
        <is>
          <t>13. Suite NTF — Notifications &amp; Email log</t>
        </is>
      </c>
      <c r="D180" s="11" t="inlineStr">
        <is>
          <t>Click **Retry** on a FAILED row (after fixing SES config on preview)</t>
        </is>
      </c>
      <c r="E180" s="11" t="inlineStr">
        <is>
          <t>Row becomes SENT</t>
        </is>
      </c>
      <c r="F180" s="12" t="inlineStr">
        <is>
          <t>Not run</t>
        </is>
      </c>
      <c r="G180" s="13" t="b">
        <v>0</v>
      </c>
      <c r="H180" s="12" t="inlineStr"/>
      <c r="I180" s="14" t="n"/>
      <c r="J180" s="12" t="inlineStr"/>
      <c r="K180" s="12" t="inlineStr"/>
    </row>
    <row r="181">
      <c r="A181" s="11" t="inlineStr">
        <is>
          <t>NTF-07</t>
        </is>
      </c>
      <c r="B181" s="11" t="inlineStr">
        <is>
          <t>Notifications</t>
        </is>
      </c>
      <c r="C181" s="11" t="inlineStr">
        <is>
          <t>13. Suite NTF — Notifications &amp; Email log</t>
        </is>
      </c>
      <c r="D181" s="11" t="inlineStr">
        <is>
          <t>Auditor opens Email log</t>
        </is>
      </c>
      <c r="E181" s="11" t="inlineStr">
        <is>
          <t>Read-only; no retry button</t>
        </is>
      </c>
      <c r="F181" s="12" t="inlineStr">
        <is>
          <t>Not run</t>
        </is>
      </c>
      <c r="G181" s="13" t="b">
        <v>0</v>
      </c>
      <c r="H181" s="12" t="inlineStr"/>
      <c r="I181" s="14" t="n"/>
      <c r="J181" s="12" t="inlineStr"/>
      <c r="K181" s="12" t="inlineStr"/>
    </row>
    <row r="182">
      <c r="A182" s="11" t="inlineStr">
        <is>
          <t>NTF-08</t>
        </is>
      </c>
      <c r="B182" s="11" t="inlineStr">
        <is>
          <t>Notifications</t>
        </is>
      </c>
      <c r="C182" s="11" t="inlineStr">
        <is>
          <t>13. Suite NTF — Notifications &amp; Email log</t>
        </is>
      </c>
      <c r="D182" s="11" t="inlineStr">
        <is>
          <t>Employee tries to open Email log URL</t>
        </is>
      </c>
      <c r="E182" s="11" t="inlineStr">
        <is>
          <t>Refused / hidden</t>
        </is>
      </c>
      <c r="F182" s="12" t="inlineStr">
        <is>
          <t>Not run</t>
        </is>
      </c>
      <c r="G182" s="13" t="b">
        <v>0</v>
      </c>
      <c r="H182" s="12" t="inlineStr"/>
      <c r="I182" s="14" t="n"/>
      <c r="J182" s="12" t="inlineStr"/>
      <c r="K182" s="12" t="inlineStr"/>
    </row>
    <row r="183">
      <c r="A183" s="11" t="inlineStr">
        <is>
          <t>RPT-01</t>
        </is>
      </c>
      <c r="B183" s="11" t="inlineStr">
        <is>
          <t>Reports &amp; analytics</t>
        </is>
      </c>
      <c r="C183" s="11" t="inlineStr">
        <is>
          <t>14. Suite RPT — Reports &amp; analytics</t>
        </is>
      </c>
      <c r="D183" s="11" t="inlineStr">
        <is>
          <t>Open **Reports** → **Headcount** with an as-of date = today</t>
        </is>
      </c>
      <c r="E183" s="11" t="inlineStr">
        <is>
          <t>Total headcount; breakdown by department and employment type</t>
        </is>
      </c>
      <c r="F183" s="12" t="inlineStr">
        <is>
          <t>Not run</t>
        </is>
      </c>
      <c r="G183" s="13" t="b">
        <v>0</v>
      </c>
      <c r="H183" s="12" t="inlineStr"/>
      <c r="I183" s="14" t="n"/>
      <c r="J183" s="12" t="inlineStr"/>
      <c r="K183" s="12" t="inlineStr"/>
    </row>
    <row r="184">
      <c r="A184" s="11" t="inlineStr">
        <is>
          <t>RPT-02</t>
        </is>
      </c>
      <c r="B184" s="11" t="inlineStr">
        <is>
          <t>Reports &amp; analytics</t>
        </is>
      </c>
      <c r="C184" s="11" t="inlineStr">
        <is>
          <t>14. Suite RPT — Reports &amp; analytics</t>
        </is>
      </c>
      <c r="D184" s="11" t="inlineStr">
        <is>
          <t>Change the **as-of date** to last month</t>
        </is>
      </c>
      <c r="E184" s="11" t="inlineStr">
        <is>
          <t>Headcount reflects employees active on that date</t>
        </is>
      </c>
      <c r="F184" s="12" t="inlineStr">
        <is>
          <t>Not run</t>
        </is>
      </c>
      <c r="G184" s="13" t="b">
        <v>0</v>
      </c>
      <c r="H184" s="12" t="inlineStr"/>
      <c r="I184" s="14" t="n"/>
      <c r="J184" s="12" t="inlineStr"/>
      <c r="K184" s="12" t="inlineStr"/>
    </row>
    <row r="185">
      <c r="A185" s="11" t="inlineStr">
        <is>
          <t>RPT-03</t>
        </is>
      </c>
      <c r="B185" s="11" t="inlineStr">
        <is>
          <t>Reports &amp; analytics</t>
        </is>
      </c>
      <c r="C185" s="11" t="inlineStr">
        <is>
          <t>14. Suite RPT — Reports &amp; analytics</t>
        </is>
      </c>
      <c r="D185" s="11" t="inlineStr">
        <is>
          <t>Open **Movement** for the month</t>
        </is>
      </c>
      <c r="E185" s="11" t="inlineStr">
        <is>
          <t>Joiners and leavers listed; net change = joiners − leavers</t>
        </is>
      </c>
      <c r="F185" s="12" t="inlineStr">
        <is>
          <t>Not run</t>
        </is>
      </c>
      <c r="G185" s="13" t="b">
        <v>0</v>
      </c>
      <c r="H185" s="12" t="inlineStr"/>
      <c r="I185" s="14" t="n"/>
      <c r="J185" s="12" t="inlineStr"/>
      <c r="K185" s="12" t="inlineStr"/>
    </row>
    <row r="186">
      <c r="A186" s="11" t="inlineStr">
        <is>
          <t>RPT-04</t>
        </is>
      </c>
      <c r="B186" s="11" t="inlineStr">
        <is>
          <t>Reports &amp; analytics</t>
        </is>
      </c>
      <c r="C186" s="11" t="inlineStr">
        <is>
          <t>14. Suite RPT — Reports &amp; analytics</t>
        </is>
      </c>
      <c r="D186" s="11" t="inlineStr">
        <is>
          <t>Check arithmetic: headcount(start) + joiners − leavers = headcount(end)</t>
        </is>
      </c>
      <c r="E186" s="11" t="inlineStr">
        <is>
          <t>Holds true</t>
        </is>
      </c>
      <c r="F186" s="12" t="inlineStr">
        <is>
          <t>Not run</t>
        </is>
      </c>
      <c r="G186" s="13" t="b">
        <v>0</v>
      </c>
      <c r="H186" s="12" t="inlineStr"/>
      <c r="I186" s="14" t="n"/>
      <c r="J186" s="12" t="inlineStr"/>
      <c r="K186" s="12" t="inlineStr"/>
    </row>
    <row r="187">
      <c r="A187" s="11" t="inlineStr">
        <is>
          <t>RPT-05</t>
        </is>
      </c>
      <c r="B187" s="11" t="inlineStr">
        <is>
          <t>Reports &amp; analytics</t>
        </is>
      </c>
      <c r="C187" s="11" t="inlineStr">
        <is>
          <t>14. Suite RPT — Reports &amp; analytics</t>
        </is>
      </c>
      <c r="D187" s="11" t="inlineStr">
        <is>
          <t>Open **Attrition** for the period</t>
        </is>
      </c>
      <c r="E187" s="11" t="inlineStr">
        <is>
          <t>Attrition rate, average tenure, voluntary vs involuntary split</t>
        </is>
      </c>
      <c r="F187" s="12" t="inlineStr">
        <is>
          <t>Not run</t>
        </is>
      </c>
      <c r="G187" s="13" t="b">
        <v>0</v>
      </c>
      <c r="H187" s="12" t="inlineStr"/>
      <c r="I187" s="14" t="n"/>
      <c r="J187" s="12" t="inlineStr"/>
      <c r="K187" s="12" t="inlineStr"/>
    </row>
    <row r="188">
      <c r="A188" s="11" t="inlineStr">
        <is>
          <t>RPT-06</t>
        </is>
      </c>
      <c r="B188" s="11" t="inlineStr">
        <is>
          <t>Reports &amp; analytics</t>
        </is>
      </c>
      <c r="C188" s="11" t="inlineStr">
        <is>
          <t>14. Suite RPT — Reports &amp; analytics</t>
        </is>
      </c>
      <c r="D188" s="11" t="inlineStr">
        <is>
          <t>Confirm the voluntary/involuntary split matches the separation reasons captured in EMP-12</t>
        </is>
      </c>
      <c r="E188" s="11" t="inlineStr">
        <is>
          <t>Counts match</t>
        </is>
      </c>
      <c r="F188" s="12" t="inlineStr">
        <is>
          <t>Not run</t>
        </is>
      </c>
      <c r="G188" s="13" t="b">
        <v>0</v>
      </c>
      <c r="H188" s="12" t="inlineStr"/>
      <c r="I188" s="14" t="n"/>
      <c r="J188" s="12" t="inlineStr"/>
      <c r="K188" s="12" t="inlineStr"/>
    </row>
    <row r="189">
      <c r="A189" s="11" t="inlineStr">
        <is>
          <t>RPT-07</t>
        </is>
      </c>
      <c r="B189" s="11" t="inlineStr">
        <is>
          <t>Reports &amp; analytics</t>
        </is>
      </c>
      <c r="C189" s="11" t="inlineStr">
        <is>
          <t>14. Suite RPT — Reports &amp; analytics</t>
        </is>
      </c>
      <c r="D189" s="11" t="inlineStr">
        <is>
          <t>**Export Headcount as CSV**</t>
        </is>
      </c>
      <c r="E189" s="11" t="inlineStr">
        <is>
          <t>File downloads; opens in a spreadsheet; numbers match the screen</t>
        </is>
      </c>
      <c r="F189" s="12" t="inlineStr">
        <is>
          <t>Not run</t>
        </is>
      </c>
      <c r="G189" s="13" t="b">
        <v>0</v>
      </c>
      <c r="H189" s="12" t="inlineStr"/>
      <c r="I189" s="14" t="n"/>
      <c r="J189" s="12" t="inlineStr"/>
      <c r="K189" s="12" t="inlineStr"/>
    </row>
    <row r="190">
      <c r="A190" s="11" t="inlineStr">
        <is>
          <t>RPT-08</t>
        </is>
      </c>
      <c r="B190" s="11" t="inlineStr">
        <is>
          <t>Reports &amp; analytics</t>
        </is>
      </c>
      <c r="C190" s="11" t="inlineStr">
        <is>
          <t>14. Suite RPT — Reports &amp; analytics</t>
        </is>
      </c>
      <c r="D190" s="11" t="inlineStr">
        <is>
          <t>**Export Movement as XLSX**</t>
        </is>
      </c>
      <c r="E190" s="11" t="inlineStr">
        <is>
          <t>File downloads; opens; formatting readable</t>
        </is>
      </c>
      <c r="F190" s="12" t="inlineStr">
        <is>
          <t>Not run</t>
        </is>
      </c>
      <c r="G190" s="13" t="b">
        <v>0</v>
      </c>
      <c r="H190" s="12" t="inlineStr"/>
      <c r="I190" s="14" t="n"/>
      <c r="J190" s="12" t="inlineStr"/>
      <c r="K190" s="12" t="inlineStr"/>
    </row>
    <row r="191">
      <c r="A191" s="11" t="inlineStr">
        <is>
          <t>RPT-09</t>
        </is>
      </c>
      <c r="B191" s="11" t="inlineStr">
        <is>
          <t>Reports &amp; analytics</t>
        </is>
      </c>
      <c r="C191" s="11" t="inlineStr">
        <is>
          <t>14. Suite RPT — Reports &amp; analytics</t>
        </is>
      </c>
      <c r="D191" s="11" t="inlineStr">
        <is>
          <t>Export Attrition as CSV</t>
        </is>
      </c>
      <c r="E191" s="11" t="inlineStr">
        <is>
          <t>Downloads; matches screen</t>
        </is>
      </c>
      <c r="F191" s="12" t="inlineStr">
        <is>
          <t>Not run</t>
        </is>
      </c>
      <c r="G191" s="13" t="b">
        <v>0</v>
      </c>
      <c r="H191" s="12" t="inlineStr"/>
      <c r="I191" s="14" t="n"/>
      <c r="J191" s="12" t="inlineStr"/>
      <c r="K191" s="12" t="inlineStr"/>
    </row>
    <row r="192">
      <c r="A192" s="11" t="inlineStr">
        <is>
          <t>RPT-10</t>
        </is>
      </c>
      <c r="B192" s="11" t="inlineStr">
        <is>
          <t>Reports &amp; analytics</t>
        </is>
      </c>
      <c r="C192" s="11" t="inlineStr">
        <is>
          <t>14. Suite RPT — Reports &amp; analytics</t>
        </is>
      </c>
      <c r="D192" s="11" t="inlineStr">
        <is>
          <t>Line Manager tries `/reports`</t>
        </is>
      </c>
      <c r="E192" s="11" t="inlineStr">
        <is>
          <t>Refused (COMPANY_ADMIN + HR_MANAGER only)</t>
        </is>
      </c>
      <c r="F192" s="12" t="inlineStr">
        <is>
          <t>Not run</t>
        </is>
      </c>
      <c r="G192" s="13" t="b">
        <v>0</v>
      </c>
      <c r="H192" s="12" t="inlineStr"/>
      <c r="I192" s="14" t="n"/>
      <c r="J192" s="12" t="inlineStr"/>
      <c r="K192" s="12" t="inlineStr"/>
    </row>
    <row r="193">
      <c r="A193" s="11" t="inlineStr">
        <is>
          <t>RPT-11</t>
        </is>
      </c>
      <c r="B193" s="11" t="inlineStr">
        <is>
          <t>Reports &amp; analytics</t>
        </is>
      </c>
      <c r="C193" s="11" t="inlineStr">
        <is>
          <t>14. Suite RPT — Reports &amp; analytics</t>
        </is>
      </c>
      <c r="D193" s="11" t="inlineStr">
        <is>
          <t>Employee tries `GET /api/reports/headcount` directly in the browser</t>
        </is>
      </c>
      <c r="E193" s="11" t="inlineStr">
        <is>
          <t>403</t>
        </is>
      </c>
      <c r="F193" s="12" t="inlineStr">
        <is>
          <t>Not run</t>
        </is>
      </c>
      <c r="G193" s="13" t="b">
        <v>0</v>
      </c>
      <c r="H193" s="12" t="inlineStr"/>
      <c r="I193" s="14" t="n"/>
      <c r="J193" s="12" t="inlineStr"/>
      <c r="K193" s="12" t="inlineStr"/>
    </row>
    <row r="194">
      <c r="A194" s="11" t="inlineStr">
        <is>
          <t>RPT-12</t>
        </is>
      </c>
      <c r="B194" s="11" t="inlineStr">
        <is>
          <t>Reports &amp; analytics</t>
        </is>
      </c>
      <c r="C194" s="11" t="inlineStr">
        <is>
          <t>14. Suite RPT — Reports &amp; analytics</t>
        </is>
      </c>
      <c r="D194" s="11" t="inlineStr">
        <is>
          <t>Payroll cost / statutory register tiles</t>
        </is>
      </c>
      <c r="E194" s="11" t="inlineStr">
        <is>
          <t>Not shown — Payroll not built (do not demo)</t>
        </is>
      </c>
      <c r="F194" s="12" t="inlineStr">
        <is>
          <t>Not run</t>
        </is>
      </c>
      <c r="G194" s="13" t="b">
        <v>0</v>
      </c>
      <c r="H194" s="12" t="inlineStr"/>
      <c r="I194" s="14" t="n"/>
      <c r="J194" s="12" t="inlineStr"/>
      <c r="K194" s="12" t="inlineStr"/>
    </row>
    <row r="195">
      <c r="A195" s="11" t="inlineStr">
        <is>
          <t>AUD-01</t>
        </is>
      </c>
      <c r="B195" s="11" t="inlineStr">
        <is>
          <t>Audit log</t>
        </is>
      </c>
      <c r="C195" s="11" t="inlineStr">
        <is>
          <t>15. Suite AUD — Audit log</t>
        </is>
      </c>
      <c r="D195" s="11" t="inlineStr">
        <is>
          <t>Open **Access › Audit › All activity**</t>
        </is>
      </c>
      <c r="E195" s="11" t="inlineStr">
        <is>
          <t>Cross-module feed of recent events, newest first</t>
        </is>
      </c>
      <c r="F195" s="12" t="inlineStr">
        <is>
          <t>Not run</t>
        </is>
      </c>
      <c r="G195" s="13" t="b">
        <v>0</v>
      </c>
      <c r="H195" s="12" t="inlineStr"/>
      <c r="I195" s="14" t="n"/>
      <c r="J195" s="12" t="inlineStr"/>
      <c r="K195" s="12" t="inlineStr"/>
    </row>
    <row r="196">
      <c r="A196" s="11" t="inlineStr">
        <is>
          <t>AUD-02</t>
        </is>
      </c>
      <c r="B196" s="11" t="inlineStr">
        <is>
          <t>Audit log</t>
        </is>
      </c>
      <c r="C196" s="11" t="inlineStr">
        <is>
          <t>15. Suite AUD — Audit log</t>
        </is>
      </c>
      <c r="D196" s="11" t="inlineStr">
        <is>
          <t>Filter by **module** (Leave, Attendance, Employees, Documents, Access…)</t>
        </is>
      </c>
      <c r="E196" s="11" t="inlineStr">
        <is>
          <t>Only that module's events shown</t>
        </is>
      </c>
      <c r="F196" s="12" t="inlineStr">
        <is>
          <t>Not run</t>
        </is>
      </c>
      <c r="G196" s="13" t="b">
        <v>0</v>
      </c>
      <c r="H196" s="12" t="inlineStr"/>
      <c r="I196" s="14" t="n"/>
      <c r="J196" s="12" t="inlineStr"/>
      <c r="K196" s="12" t="inlineStr"/>
    </row>
    <row r="197">
      <c r="A197" s="11" t="inlineStr">
        <is>
          <t>AUD-03</t>
        </is>
      </c>
      <c r="B197" s="11" t="inlineStr">
        <is>
          <t>Audit log</t>
        </is>
      </c>
      <c r="C197" s="11" t="inlineStr">
        <is>
          <t>15. Suite AUD — Audit log</t>
        </is>
      </c>
      <c r="D197" s="11" t="inlineStr">
        <is>
          <t>Find the **EMP-11** edit</t>
        </is>
      </c>
      <c r="E197" s="11" t="inlineStr">
        <is>
          <t>Entry shows actor, time, field, **before and after** values</t>
        </is>
      </c>
      <c r="F197" s="12" t="inlineStr">
        <is>
          <t>Not run</t>
        </is>
      </c>
      <c r="G197" s="13" t="b">
        <v>0</v>
      </c>
      <c r="H197" s="12" t="inlineStr"/>
      <c r="I197" s="14" t="n"/>
      <c r="J197" s="12" t="inlineStr"/>
      <c r="K197" s="12" t="inlineStr"/>
    </row>
    <row r="198">
      <c r="A198" s="11" t="inlineStr">
        <is>
          <t>AUD-04</t>
        </is>
      </c>
      <c r="B198" s="11" t="inlineStr">
        <is>
          <t>Audit log</t>
        </is>
      </c>
      <c r="C198" s="11" t="inlineStr">
        <is>
          <t>15. Suite AUD — Audit log</t>
        </is>
      </c>
      <c r="D198" s="11" t="inlineStr">
        <is>
          <t>Find the leave **approve** from LV-22 and the **balance adjustment** from LV-30</t>
        </is>
      </c>
      <c r="E198" s="11" t="inlineStr">
        <is>
          <t>Both present with actor and reason</t>
        </is>
      </c>
      <c r="F198" s="12" t="inlineStr">
        <is>
          <t>Not run</t>
        </is>
      </c>
      <c r="G198" s="13" t="b">
        <v>0</v>
      </c>
      <c r="H198" s="12" t="inlineStr"/>
      <c r="I198" s="14" t="n"/>
      <c r="J198" s="12" t="inlineStr"/>
      <c r="K198" s="12" t="inlineStr"/>
    </row>
    <row r="199">
      <c r="A199" s="11" t="inlineStr">
        <is>
          <t>AUD-05</t>
        </is>
      </c>
      <c r="B199" s="11" t="inlineStr">
        <is>
          <t>Audit log</t>
        </is>
      </c>
      <c r="C199" s="11" t="inlineStr">
        <is>
          <t>15. Suite AUD — Audit log</t>
        </is>
      </c>
      <c r="D199" s="11" t="inlineStr">
        <is>
          <t>Find the **sensitive reveal** from EMP-15</t>
        </is>
      </c>
      <c r="E199" s="11" t="inlineStr">
        <is>
          <t>Logged with actor and time (reveal is audited)</t>
        </is>
      </c>
      <c r="F199" s="12" t="inlineStr">
        <is>
          <t>Not run</t>
        </is>
      </c>
      <c r="G199" s="13" t="b">
        <v>0</v>
      </c>
      <c r="H199" s="12" t="inlineStr"/>
      <c r="I199" s="14" t="n"/>
      <c r="J199" s="12" t="inlineStr"/>
      <c r="K199" s="12" t="inlineStr"/>
    </row>
    <row r="200">
      <c r="A200" s="11" t="inlineStr">
        <is>
          <t>AUD-06</t>
        </is>
      </c>
      <c r="B200" s="11" t="inlineStr">
        <is>
          <t>Audit log</t>
        </is>
      </c>
      <c r="C200" s="11" t="inlineStr">
        <is>
          <t>15. Suite AUD — Audit log</t>
        </is>
      </c>
      <c r="D200" s="11" t="inlineStr">
        <is>
          <t>Find the **manual attendance mark** from ATT-16 and approvals from ATT-18</t>
        </is>
      </c>
      <c r="E200" s="11" t="inlineStr">
        <is>
          <t>Present</t>
        </is>
      </c>
      <c r="F200" s="12" t="inlineStr">
        <is>
          <t>Not run</t>
        </is>
      </c>
      <c r="G200" s="13" t="b">
        <v>0</v>
      </c>
      <c r="H200" s="12" t="inlineStr"/>
      <c r="I200" s="14" t="n"/>
      <c r="J200" s="12" t="inlineStr"/>
      <c r="K200" s="12" t="inlineStr"/>
    </row>
    <row r="201">
      <c r="A201" s="11" t="inlineStr">
        <is>
          <t>AUD-07</t>
        </is>
      </c>
      <c r="B201" s="11" t="inlineStr">
        <is>
          <t>Audit log</t>
        </is>
      </c>
      <c r="C201" s="11" t="inlineStr">
        <is>
          <t>15. Suite AUD — Audit log</t>
        </is>
      </c>
      <c r="D201" s="11" t="inlineStr">
        <is>
          <t>Auditor opens the audit log</t>
        </is>
      </c>
      <c r="E201" s="11" t="inlineStr">
        <is>
          <t>Can read; no edit or delete controls exist</t>
        </is>
      </c>
      <c r="F201" s="12" t="inlineStr">
        <is>
          <t>Not run</t>
        </is>
      </c>
      <c r="G201" s="13" t="b">
        <v>0</v>
      </c>
      <c r="H201" s="12" t="inlineStr"/>
      <c r="I201" s="14" t="n"/>
      <c r="J201" s="12" t="inlineStr"/>
      <c r="K201" s="12" t="inlineStr"/>
    </row>
    <row r="202">
      <c r="A202" s="11" t="inlineStr">
        <is>
          <t>AUD-08</t>
        </is>
      </c>
      <c r="B202" s="11" t="inlineStr">
        <is>
          <t>Audit log</t>
        </is>
      </c>
      <c r="C202" s="11" t="inlineStr">
        <is>
          <t>15. Suite AUD — Audit log</t>
        </is>
      </c>
      <c r="D202" s="11" t="inlineStr">
        <is>
          <t>Confirm the platform operator's **suspend/resume** (PA-10) is in the *platform* audit, not the tenant audit</t>
        </is>
      </c>
      <c r="E202" s="11" t="inlineStr">
        <is>
          <t>Correct separation (platform schema is separate by design)</t>
        </is>
      </c>
      <c r="F202" s="12" t="inlineStr">
        <is>
          <t>Not run</t>
        </is>
      </c>
      <c r="G202" s="13" t="b">
        <v>0</v>
      </c>
      <c r="H202" s="12" t="inlineStr"/>
      <c r="I202" s="14" t="n"/>
      <c r="J202" s="12" t="inlineStr"/>
      <c r="K202" s="12" t="inlineStr"/>
    </row>
    <row r="203">
      <c r="A203" s="11" t="inlineStr">
        <is>
          <t>RBAC-01</t>
        </is>
      </c>
      <c r="B203" s="11" t="inlineStr">
        <is>
          <t>Cross-role permissions</t>
        </is>
      </c>
      <c r="C203" s="11" t="inlineStr">
        <is>
          <t>16. Suite RBAC — Cross-role permission matrix</t>
        </is>
      </c>
      <c r="D203" s="11" t="inlineStr">
        <is>
          <t>Sign in to tenant app | ✅ | ✅ | ✅</t>
        </is>
      </c>
      <c r="E203" s="11" t="inlineStr">
        <is>
          <t>✅</t>
        </is>
      </c>
      <c r="F203" s="12" t="inlineStr">
        <is>
          <t>Not run</t>
        </is>
      </c>
      <c r="G203" s="13" t="b">
        <v>0</v>
      </c>
      <c r="H203" s="12" t="inlineStr"/>
      <c r="I203" s="14" t="n"/>
      <c r="J203" s="12" t="inlineStr"/>
      <c r="K203" s="12" t="inlineStr"/>
    </row>
    <row r="204">
      <c r="A204" s="11" t="inlineStr">
        <is>
          <t>RBAC-02</t>
        </is>
      </c>
      <c r="B204" s="11" t="inlineStr">
        <is>
          <t>Cross-role permissions</t>
        </is>
      </c>
      <c r="C204" s="11" t="inlineStr">
        <is>
          <t>16. Suite RBAC — Cross-role permission matrix</t>
        </is>
      </c>
      <c r="D204" s="11" t="inlineStr">
        <is>
          <t>Open platform operator console | ❌ | ❌ | ❌</t>
        </is>
      </c>
      <c r="E204" s="11" t="inlineStr">
        <is>
          <t>❌</t>
        </is>
      </c>
      <c r="F204" s="12" t="inlineStr">
        <is>
          <t>Not run</t>
        </is>
      </c>
      <c r="G204" s="13" t="b">
        <v>0</v>
      </c>
      <c r="H204" s="12" t="inlineStr"/>
      <c r="I204" s="14" t="n"/>
      <c r="J204" s="12" t="inlineStr"/>
      <c r="K204" s="12" t="inlineStr"/>
    </row>
    <row r="205">
      <c r="A205" s="11" t="inlineStr">
        <is>
          <t>RBAC-03</t>
        </is>
      </c>
      <c r="B205" s="11" t="inlineStr">
        <is>
          <t>Cross-role permissions</t>
        </is>
      </c>
      <c r="C205" s="11" t="inlineStr">
        <is>
          <t>16. Suite RBAC — Cross-role permission matrix</t>
        </is>
      </c>
      <c r="D205" s="11" t="inlineStr">
        <is>
          <t>View tenant user list + roles | ✅ | ✅ | ❌</t>
        </is>
      </c>
      <c r="E205" s="11" t="inlineStr">
        <is>
          <t>❌</t>
        </is>
      </c>
      <c r="F205" s="12" t="inlineStr">
        <is>
          <t>Not run</t>
        </is>
      </c>
      <c r="G205" s="13" t="b">
        <v>0</v>
      </c>
      <c r="H205" s="12" t="inlineStr"/>
      <c r="I205" s="14" t="n"/>
      <c r="J205" s="12" t="inlineStr"/>
      <c r="K205" s="12" t="inlineStr"/>
    </row>
    <row r="206">
      <c r="A206" s="11" t="inlineStr">
        <is>
          <t>RBAC-04</t>
        </is>
      </c>
      <c r="B206" s="11" t="inlineStr">
        <is>
          <t>Cross-role permissions</t>
        </is>
      </c>
      <c r="C206" s="11" t="inlineStr">
        <is>
          <t>16. Suite RBAC — Cross-role permission matrix</t>
        </is>
      </c>
      <c r="D206" s="11" t="inlineStr">
        <is>
          <t>Create employee (Employee Master) | ✅ | ✅ | ❌</t>
        </is>
      </c>
      <c r="E206" s="11" t="inlineStr">
        <is>
          <t>❌</t>
        </is>
      </c>
      <c r="F206" s="12" t="inlineStr">
        <is>
          <t>Not run</t>
        </is>
      </c>
      <c r="G206" s="13" t="b">
        <v>0</v>
      </c>
      <c r="H206" s="12" t="inlineStr"/>
      <c r="I206" s="14" t="n"/>
      <c r="J206" s="12" t="inlineStr"/>
      <c r="K206" s="12" t="inlineStr"/>
    </row>
    <row r="207">
      <c r="A207" s="11" t="inlineStr">
        <is>
          <t>RBAC-05</t>
        </is>
      </c>
      <c r="B207" s="11" t="inlineStr">
        <is>
          <t>Cross-role permissions</t>
        </is>
      </c>
      <c r="C207" s="11" t="inlineStr">
        <is>
          <t>16. Suite RBAC — Cross-role permission matrix</t>
        </is>
      </c>
      <c r="D207" s="11" t="inlineStr">
        <is>
          <t>Edit employee job / CTC fields | ✅ | ✅ | ❌</t>
        </is>
      </c>
      <c r="E207" s="11" t="inlineStr">
        <is>
          <t>❌</t>
        </is>
      </c>
      <c r="F207" s="12" t="inlineStr">
        <is>
          <t>Not run</t>
        </is>
      </c>
      <c r="G207" s="13" t="b">
        <v>0</v>
      </c>
      <c r="H207" s="12" t="inlineStr"/>
      <c r="I207" s="14" t="n"/>
      <c r="J207" s="12" t="inlineStr"/>
      <c r="K207" s="12" t="inlineStr"/>
    </row>
    <row r="208">
      <c r="A208" s="11" t="inlineStr">
        <is>
          <t>RBAC-06</t>
        </is>
      </c>
      <c r="B208" s="11" t="inlineStr">
        <is>
          <t>Cross-role permissions</t>
        </is>
      </c>
      <c r="C208" s="11" t="inlineStr">
        <is>
          <t>16. Suite RBAC — Cross-role permission matrix</t>
        </is>
      </c>
      <c r="D208" s="11" t="inlineStr">
        <is>
          <t>View sensitive (PAN/Aadhaar) reveal | ✅ | ✅ | ❌</t>
        </is>
      </c>
      <c r="E208" s="11" t="inlineStr">
        <is>
          <t>own only</t>
        </is>
      </c>
      <c r="F208" s="12" t="inlineStr">
        <is>
          <t>Not run</t>
        </is>
      </c>
      <c r="G208" s="13" t="b">
        <v>0</v>
      </c>
      <c r="H208" s="12" t="inlineStr"/>
      <c r="I208" s="14" t="n"/>
      <c r="J208" s="12" t="inlineStr"/>
      <c r="K208" s="12" t="inlineStr"/>
    </row>
    <row r="209">
      <c r="A209" s="11" t="inlineStr">
        <is>
          <t>RBAC-07</t>
        </is>
      </c>
      <c r="B209" s="11" t="inlineStr">
        <is>
          <t>Cross-role permissions</t>
        </is>
      </c>
      <c r="C209" s="11" t="inlineStr">
        <is>
          <t>16. Suite RBAC — Cross-role permission matrix</t>
        </is>
      </c>
      <c r="D209" s="11" t="inlineStr">
        <is>
          <t>Change a user's role | ✅ | ❌ | ❌</t>
        </is>
      </c>
      <c r="E209" s="11" t="inlineStr">
        <is>
          <t>❌</t>
        </is>
      </c>
      <c r="F209" s="12" t="inlineStr">
        <is>
          <t>Not run</t>
        </is>
      </c>
      <c r="G209" s="13" t="b">
        <v>0</v>
      </c>
      <c r="H209" s="12" t="inlineStr"/>
      <c r="I209" s="14" t="n"/>
      <c r="J209" s="12" t="inlineStr"/>
      <c r="K209" s="12" t="inlineStr"/>
    </row>
    <row r="210">
      <c r="A210" s="11" t="inlineStr">
        <is>
          <t>RBAC-08</t>
        </is>
      </c>
      <c r="B210" s="11" t="inlineStr">
        <is>
          <t>Cross-role permissions</t>
        </is>
      </c>
      <c r="C210" s="11" t="inlineStr">
        <is>
          <t>16. Suite RBAC — Cross-role permission matrix</t>
        </is>
      </c>
      <c r="D210" s="11" t="inlineStr">
        <is>
          <t>Grant COMPANY_ADMIN | ✅ | ❌ | ❌</t>
        </is>
      </c>
      <c r="E210" s="11" t="inlineStr">
        <is>
          <t>❌</t>
        </is>
      </c>
      <c r="F210" s="12" t="inlineStr">
        <is>
          <t>Not run</t>
        </is>
      </c>
      <c r="G210" s="13" t="b">
        <v>0</v>
      </c>
      <c r="H210" s="12" t="inlineStr"/>
      <c r="I210" s="14" t="n"/>
      <c r="J210" s="12" t="inlineStr"/>
      <c r="K210" s="12" t="inlineStr"/>
    </row>
    <row r="211">
      <c r="A211" s="11" t="inlineStr">
        <is>
          <t>RBAC-09</t>
        </is>
      </c>
      <c r="B211" s="11" t="inlineStr">
        <is>
          <t>Cross-role permissions</t>
        </is>
      </c>
      <c r="C211" s="11" t="inlineStr">
        <is>
          <t>16. Suite RBAC — Cross-role permission matrix</t>
        </is>
      </c>
      <c r="D211" s="11" t="inlineStr">
        <is>
          <t>Activate / deactivate a login | ✅ | ✅ | ❌</t>
        </is>
      </c>
      <c r="E211" s="11" t="inlineStr">
        <is>
          <t>❌</t>
        </is>
      </c>
      <c r="F211" s="12" t="inlineStr">
        <is>
          <t>Not run</t>
        </is>
      </c>
      <c r="G211" s="13" t="b">
        <v>0</v>
      </c>
      <c r="H211" s="12" t="inlineStr"/>
      <c r="I211" s="14" t="n"/>
      <c r="J211" s="12" t="inlineStr"/>
      <c r="K211" s="12" t="inlineStr"/>
    </row>
    <row r="212">
      <c r="A212" s="11" t="inlineStr">
        <is>
          <t>RBAC-10</t>
        </is>
      </c>
      <c r="B212" s="11" t="inlineStr">
        <is>
          <t>Cross-role permissions</t>
        </is>
      </c>
      <c r="C212" s="11" t="inlineStr">
        <is>
          <t>16. Suite RBAC — Cross-role permission matrix</t>
        </is>
      </c>
      <c r="D212" s="11" t="inlineStr">
        <is>
          <t>Trigger password reset for others | ✅ | ✅ | ❌</t>
        </is>
      </c>
      <c r="E212" s="11" t="inlineStr">
        <is>
          <t>❌</t>
        </is>
      </c>
      <c r="F212" s="12" t="inlineStr">
        <is>
          <t>Not run</t>
        </is>
      </c>
      <c r="G212" s="13" t="b">
        <v>0</v>
      </c>
      <c r="H212" s="12" t="inlineStr"/>
      <c r="I212" s="14" t="n"/>
      <c r="J212" s="12" t="inlineStr"/>
      <c r="K212" s="12" t="inlineStr"/>
    </row>
    <row r="213">
      <c r="A213" s="11" t="inlineStr">
        <is>
          <t>RBAC-11</t>
        </is>
      </c>
      <c r="B213" s="11" t="inlineStr">
        <is>
          <t>Cross-role permissions</t>
        </is>
      </c>
      <c r="C213" s="11" t="inlineStr">
        <is>
          <t>16. Suite RBAC — Cross-role permission matrix</t>
        </is>
      </c>
      <c r="D213" s="11" t="inlineStr">
        <is>
          <t>Read login / access audit | ✅ | ❌ | ❌</t>
        </is>
      </c>
      <c r="E213" s="11" t="inlineStr">
        <is>
          <t>❌</t>
        </is>
      </c>
      <c r="F213" s="12" t="inlineStr">
        <is>
          <t>Not run</t>
        </is>
      </c>
      <c r="G213" s="13" t="b">
        <v>0</v>
      </c>
      <c r="H213" s="12" t="inlineStr"/>
      <c r="I213" s="14" t="n"/>
      <c r="J213" s="12" t="inlineStr"/>
      <c r="K213" s="12" t="inlineStr"/>
    </row>
    <row r="214">
      <c r="A214" s="11" t="inlineStr">
        <is>
          <t>RBAC-12</t>
        </is>
      </c>
      <c r="B214" s="11" t="inlineStr">
        <is>
          <t>Cross-role permissions</t>
        </is>
      </c>
      <c r="C214" s="11" t="inlineStr">
        <is>
          <t>16. Suite RBAC — Cross-role permission matrix</t>
        </is>
      </c>
      <c r="D214" s="11" t="inlineStr">
        <is>
          <t>Apply for own leave | ✅ | ✅ | ✅</t>
        </is>
      </c>
      <c r="E214" s="11" t="inlineStr">
        <is>
          <t>✅</t>
        </is>
      </c>
      <c r="F214" s="12" t="inlineStr">
        <is>
          <t>Not run</t>
        </is>
      </c>
      <c r="G214" s="13" t="b">
        <v>0</v>
      </c>
      <c r="H214" s="12" t="inlineStr"/>
      <c r="I214" s="14" t="n"/>
      <c r="J214" s="12" t="inlineStr"/>
      <c r="K214" s="12" t="inlineStr"/>
    </row>
    <row r="215">
      <c r="A215" s="11" t="inlineStr">
        <is>
          <t>RBAC-13</t>
        </is>
      </c>
      <c r="B215" s="11" t="inlineStr">
        <is>
          <t>Cross-role permissions</t>
        </is>
      </c>
      <c r="C215" s="11" t="inlineStr">
        <is>
          <t>16. Suite RBAC — Cross-role permission matrix</t>
        </is>
      </c>
      <c r="D215" s="11" t="inlineStr">
        <is>
          <t>Approve leave (own reports only) | ✅ | ✅ | ✅ own reports</t>
        </is>
      </c>
      <c r="E215" s="11" t="inlineStr">
        <is>
          <t>❌</t>
        </is>
      </c>
      <c r="F215" s="12" t="inlineStr">
        <is>
          <t>Not run</t>
        </is>
      </c>
      <c r="G215" s="13" t="b">
        <v>0</v>
      </c>
      <c r="H215" s="12" t="inlineStr"/>
      <c r="I215" s="14" t="n"/>
      <c r="J215" s="12" t="inlineStr"/>
      <c r="K215" s="12" t="inlineStr"/>
    </row>
    <row r="216">
      <c r="A216" s="11" t="inlineStr">
        <is>
          <t>RBAC-14</t>
        </is>
      </c>
      <c r="B216" s="11" t="inlineStr">
        <is>
          <t>Cross-role permissions</t>
        </is>
      </c>
      <c r="C216" s="11" t="inlineStr">
        <is>
          <t>16. Suite RBAC — Cross-role permission matrix</t>
        </is>
      </c>
      <c r="D216" s="11" t="inlineStr">
        <is>
          <t>Leave balance adjustment | ✅ | ✅ | ❌</t>
        </is>
      </c>
      <c r="E216" s="11" t="inlineStr">
        <is>
          <t>❌</t>
        </is>
      </c>
      <c r="F216" s="12" t="inlineStr">
        <is>
          <t>Not run</t>
        </is>
      </c>
      <c r="G216" s="13" t="b">
        <v>0</v>
      </c>
      <c r="H216" s="12" t="inlineStr"/>
      <c r="I216" s="14" t="n"/>
      <c r="J216" s="12" t="inlineStr"/>
      <c r="K216" s="12" t="inlineStr"/>
    </row>
    <row r="217">
      <c r="A217" s="11" t="inlineStr">
        <is>
          <t>RBAC-15</t>
        </is>
      </c>
      <c r="B217" s="11" t="inlineStr">
        <is>
          <t>Cross-role permissions</t>
        </is>
      </c>
      <c r="C217" s="11" t="inlineStr">
        <is>
          <t>16. Suite RBAC — Cross-role permission matrix</t>
        </is>
      </c>
      <c r="D217" s="11" t="inlineStr">
        <is>
          <t>Leave types / settings | ✅ | ✅ types / ✅ settings ❌ | ❌</t>
        </is>
      </c>
      <c r="E217" s="11" t="inlineStr">
        <is>
          <t>❌</t>
        </is>
      </c>
      <c r="F217" s="12" t="inlineStr">
        <is>
          <t>Not run</t>
        </is>
      </c>
      <c r="G217" s="13" t="b">
        <v>0</v>
      </c>
      <c r="H217" s="12" t="inlineStr"/>
      <c r="I217" s="14" t="n"/>
      <c r="J217" s="12" t="inlineStr"/>
      <c r="K217" s="12" t="inlineStr"/>
    </row>
    <row r="218">
      <c r="A218" s="11" t="inlineStr">
        <is>
          <t>RBAC-16</t>
        </is>
      </c>
      <c r="B218" s="11" t="inlineStr">
        <is>
          <t>Cross-role permissions</t>
        </is>
      </c>
      <c r="C218" s="11" t="inlineStr">
        <is>
          <t>16. Suite RBAC — Cross-role permission matrix</t>
        </is>
      </c>
      <c r="D218" s="11" t="inlineStr">
        <is>
          <t>Clock in / out (own) | ✅ | ✅ | ✅</t>
        </is>
      </c>
      <c r="E218" s="11" t="inlineStr">
        <is>
          <t>✅</t>
        </is>
      </c>
      <c r="F218" s="12" t="inlineStr">
        <is>
          <t>Not run</t>
        </is>
      </c>
      <c r="G218" s="13" t="b">
        <v>0</v>
      </c>
      <c r="H218" s="12" t="inlineStr"/>
      <c r="I218" s="14" t="n"/>
      <c r="J218" s="12" t="inlineStr"/>
      <c r="K218" s="12" t="inlineStr"/>
    </row>
    <row r="219">
      <c r="A219" s="11" t="inlineStr">
        <is>
          <t>RBAC-17</t>
        </is>
      </c>
      <c r="B219" s="11" t="inlineStr">
        <is>
          <t>Cross-role permissions</t>
        </is>
      </c>
      <c r="C219" s="11" t="inlineStr">
        <is>
          <t>16. Suite RBAC — Cross-role permission matrix</t>
        </is>
      </c>
      <c r="D219" s="11" t="inlineStr">
        <is>
          <t>Team roster &amp; manual attendance mark | ✅ | ✅ | ✅ own reports</t>
        </is>
      </c>
      <c r="E219" s="11" t="inlineStr">
        <is>
          <t>❌</t>
        </is>
      </c>
      <c r="F219" s="12" t="inlineStr">
        <is>
          <t>Not run</t>
        </is>
      </c>
      <c r="G219" s="13" t="b">
        <v>0</v>
      </c>
      <c r="H219" s="12" t="inlineStr"/>
      <c r="I219" s="14" t="n"/>
      <c r="J219" s="12" t="inlineStr"/>
      <c r="K219" s="12" t="inlineStr"/>
    </row>
    <row r="220">
      <c r="A220" s="11" t="inlineStr">
        <is>
          <t>RBAC-18</t>
        </is>
      </c>
      <c r="B220" s="11" t="inlineStr">
        <is>
          <t>Cross-role permissions</t>
        </is>
      </c>
      <c r="C220" s="11" t="inlineStr">
        <is>
          <t>16. Suite RBAC — Cross-role permission matrix</t>
        </is>
      </c>
      <c r="D220" s="11" t="inlineStr">
        <is>
          <t>Attendance settings / shifts | ✅ | ❌ | ❌</t>
        </is>
      </c>
      <c r="E220" s="11" t="inlineStr">
        <is>
          <t>❌</t>
        </is>
      </c>
      <c r="F220" s="12" t="inlineStr">
        <is>
          <t>Not run</t>
        </is>
      </c>
      <c r="G220" s="13" t="b">
        <v>0</v>
      </c>
      <c r="H220" s="12" t="inlineStr"/>
      <c r="I220" s="14" t="n"/>
      <c r="J220" s="12" t="inlineStr"/>
      <c r="K220" s="12" t="inlineStr"/>
    </row>
    <row r="221">
      <c r="A221" s="11" t="inlineStr">
        <is>
          <t>RBAC-19</t>
        </is>
      </c>
      <c r="B221" s="11" t="inlineStr">
        <is>
          <t>Cross-role permissions</t>
        </is>
      </c>
      <c r="C221" s="11" t="inlineStr">
        <is>
          <t>16. Suite RBAC — Cross-role permission matrix</t>
        </is>
      </c>
      <c r="D221" s="11" t="inlineStr">
        <is>
          <t>Reports (headcount / movement / attrition) | ✅ | ✅ | ❌</t>
        </is>
      </c>
      <c r="E221" s="11" t="inlineStr">
        <is>
          <t>❌</t>
        </is>
      </c>
      <c r="F221" s="12" t="inlineStr">
        <is>
          <t>Not run</t>
        </is>
      </c>
      <c r="G221" s="13" t="b">
        <v>0</v>
      </c>
      <c r="H221" s="12" t="inlineStr"/>
      <c r="I221" s="14" t="n"/>
      <c r="J221" s="12" t="inlineStr"/>
      <c r="K221" s="12" t="inlineStr"/>
    </row>
    <row r="222">
      <c r="A222" s="11" t="inlineStr">
        <is>
          <t>RBAC-20</t>
        </is>
      </c>
      <c r="B222" s="11" t="inlineStr">
        <is>
          <t>Cross-role permissions</t>
        </is>
      </c>
      <c r="C222" s="11" t="inlineStr">
        <is>
          <t>16. Suite RBAC — Cross-role permission matrix</t>
        </is>
      </c>
      <c r="D222" s="11" t="inlineStr">
        <is>
          <t>Email log &amp; retry | ✅ | ✅ | ❌</t>
        </is>
      </c>
      <c r="E222" s="11" t="inlineStr">
        <is>
          <t>❌</t>
        </is>
      </c>
      <c r="F222" s="12" t="inlineStr">
        <is>
          <t>Not run</t>
        </is>
      </c>
      <c r="G222" s="13" t="b">
        <v>0</v>
      </c>
      <c r="H222" s="12" t="inlineStr"/>
      <c r="I222" s="14" t="n"/>
      <c r="J222" s="12" t="inlineStr"/>
      <c r="K222" s="12" t="inlineStr"/>
    </row>
    <row r="223">
      <c r="A223" s="11" t="inlineStr">
        <is>
          <t>RBAC-21</t>
        </is>
      </c>
      <c r="B223" s="11" t="inlineStr">
        <is>
          <t>Cross-role permissions</t>
        </is>
      </c>
      <c r="C223" s="11" t="inlineStr">
        <is>
          <t>16. Suite RBAC — Cross-role permission matrix</t>
        </is>
      </c>
      <c r="D223" s="11" t="inlineStr">
        <is>
          <t>Departments create / edit / delete | ✅ | ✅ | ❌</t>
        </is>
      </c>
      <c r="E223" s="11" t="inlineStr">
        <is>
          <t>❌</t>
        </is>
      </c>
      <c r="F223" s="12" t="inlineStr">
        <is>
          <t>Not run</t>
        </is>
      </c>
      <c r="G223" s="13" t="b">
        <v>0</v>
      </c>
      <c r="H223" s="12" t="inlineStr"/>
      <c r="I223" s="14" t="n"/>
      <c r="J223" s="12" t="inlineStr"/>
      <c r="K223" s="12" t="inlineStr"/>
    </row>
    <row r="224">
      <c r="A224" s="11" t="inlineStr">
        <is>
          <t>RBAC-22</t>
        </is>
      </c>
      <c r="B224" s="11" t="inlineStr">
        <is>
          <t>Cross-role permissions</t>
        </is>
      </c>
      <c r="C224" s="11" t="inlineStr">
        <is>
          <t>16. Suite RBAC — Cross-role permission matrix</t>
        </is>
      </c>
      <c r="D224" s="11" t="inlineStr">
        <is>
          <t>Upload / delete documents for an employee | ✅ | ✅ | ✅ own reports (evidence only)</t>
        </is>
      </c>
      <c r="E224" s="11" t="inlineStr">
        <is>
          <t>own (leave / regularization)</t>
        </is>
      </c>
      <c r="F224" s="12" t="inlineStr">
        <is>
          <t>Not run</t>
        </is>
      </c>
      <c r="G224" s="13" t="b">
        <v>0</v>
      </c>
      <c r="H224" s="12" t="inlineStr"/>
      <c r="I224" s="14" t="n"/>
      <c r="J224" s="12" t="inlineStr"/>
      <c r="K224" s="12" t="inlineStr"/>
    </row>
    <row r="225">
      <c r="A225" s="11" t="inlineStr">
        <is>
          <t>RBAC-23</t>
        </is>
      </c>
      <c r="B225" s="11" t="inlineStr">
        <is>
          <t>Cross-role permissions</t>
        </is>
      </c>
      <c r="C225" s="11" t="inlineStr">
        <is>
          <t>16. Suite RBAC — Cross-role permission matrix</t>
        </is>
      </c>
      <c r="D225" s="11" t="inlineStr">
        <is>
          <t>Tenant configuration &amp; setup wizard | ✅ | ❌ | ❌</t>
        </is>
      </c>
      <c r="E225" s="11" t="inlineStr">
        <is>
          <t>❌</t>
        </is>
      </c>
      <c r="F225" s="12" t="inlineStr">
        <is>
          <t>Not run</t>
        </is>
      </c>
      <c r="G225" s="13" t="b">
        <v>0</v>
      </c>
      <c r="H225" s="12" t="inlineStr"/>
      <c r="I225" s="14" t="n"/>
      <c r="J225" s="12" t="inlineStr"/>
      <c r="K225" s="12" t="inlineStr"/>
    </row>
    <row r="226">
      <c r="A226" s="11" t="inlineStr">
        <is>
          <t>RBAC-24</t>
        </is>
      </c>
      <c r="B226" s="11" t="inlineStr">
        <is>
          <t>Cross-role permissions</t>
        </is>
      </c>
      <c r="C226" s="11" t="inlineStr">
        <is>
          <t>16. Suite RBAC — Cross-role permission matrix</t>
        </is>
      </c>
      <c r="D226" s="11" t="inlineStr">
        <is>
          <t>Line Manager sees only own reports' data (not company-wide) | n/a | n/a | ✅ enforced</t>
        </is>
      </c>
      <c r="E226" s="11" t="inlineStr">
        <is>
          <t>n/a</t>
        </is>
      </c>
      <c r="F226" s="12" t="inlineStr">
        <is>
          <t>Not run</t>
        </is>
      </c>
      <c r="G226" s="13" t="b">
        <v>0</v>
      </c>
      <c r="H226" s="12" t="inlineStr"/>
      <c r="I226" s="14" t="n"/>
      <c r="J226" s="12" t="inlineStr"/>
      <c r="K226" s="12" t="inlineStr"/>
    </row>
    <row r="227">
      <c r="A227" s="11" t="inlineStr">
        <is>
          <t>ISO-01</t>
        </is>
      </c>
      <c r="B227" s="11" t="inlineStr">
        <is>
          <t>Tenant isolation</t>
        </is>
      </c>
      <c r="C227" s="11" t="inlineStr">
        <is>
          <t>17. Suite ISO — Tenant isolation (adversarial)</t>
        </is>
      </c>
      <c r="D227" s="11" t="inlineStr">
        <is>
          <t>Sign in as tenant A's Company Admin. Note the id of a tenant-B employee (from a second browser session). Request that employee via `GET /api/employees/:id`</t>
        </is>
      </c>
      <c r="E227" s="11" t="inlineStr">
        <is>
          <t>404 / not found — never the data</t>
        </is>
      </c>
      <c r="F227" s="12" t="inlineStr">
        <is>
          <t>Not run</t>
        </is>
      </c>
      <c r="G227" s="13" t="b">
        <v>0</v>
      </c>
      <c r="H227" s="12" t="inlineStr"/>
      <c r="I227" s="14" t="n"/>
      <c r="J227" s="12" t="inlineStr"/>
      <c r="K227" s="12" t="inlineStr"/>
    </row>
    <row r="228">
      <c r="A228" s="11" t="inlineStr">
        <is>
          <t>ISO-02</t>
        </is>
      </c>
      <c r="B228" s="11" t="inlineStr">
        <is>
          <t>Tenant isolation</t>
        </is>
      </c>
      <c r="C228" s="11" t="inlineStr">
        <is>
          <t>17. Suite ISO — Tenant isolation (adversarial)</t>
        </is>
      </c>
      <c r="D228" s="11" t="inlineStr">
        <is>
          <t>As tenant A, `PATCH /api/employees/:tenantB_id` with a changed field</t>
        </is>
      </c>
      <c r="E228" s="11" t="inlineStr">
        <is>
          <t>Refused; tenant B row unchanged (verify from tenant B's session)</t>
        </is>
      </c>
      <c r="F228" s="12" t="inlineStr">
        <is>
          <t>Not run</t>
        </is>
      </c>
      <c r="G228" s="13" t="b">
        <v>0</v>
      </c>
      <c r="H228" s="12" t="inlineStr"/>
      <c r="I228" s="14" t="n"/>
      <c r="J228" s="12" t="inlineStr"/>
      <c r="K228" s="12" t="inlineStr"/>
    </row>
    <row r="229">
      <c r="A229" s="11" t="inlineStr">
        <is>
          <t>ISO-03</t>
        </is>
      </c>
      <c r="B229" s="11" t="inlineStr">
        <is>
          <t>Tenant isolation</t>
        </is>
      </c>
      <c r="C229" s="11" t="inlineStr">
        <is>
          <t>17. Suite ISO — Tenant isolation (adversarial)</t>
        </is>
      </c>
      <c r="D229" s="11" t="inlineStr">
        <is>
          <t>As tenant A, attempt to **approve** a tenant-B leave request by id</t>
        </is>
      </c>
      <c r="E229" s="11" t="inlineStr">
        <is>
          <t>Refused; request unchanged</t>
        </is>
      </c>
      <c r="F229" s="12" t="inlineStr">
        <is>
          <t>Not run</t>
        </is>
      </c>
      <c r="G229" s="13" t="b">
        <v>0</v>
      </c>
      <c r="H229" s="12" t="inlineStr"/>
      <c r="I229" s="14" t="n"/>
      <c r="J229" s="12" t="inlineStr"/>
      <c r="K229" s="12" t="inlineStr"/>
    </row>
    <row r="230">
      <c r="A230" s="11" t="inlineStr">
        <is>
          <t>ISO-04</t>
        </is>
      </c>
      <c r="B230" s="11" t="inlineStr">
        <is>
          <t>Tenant isolation</t>
        </is>
      </c>
      <c r="C230" s="11" t="inlineStr">
        <is>
          <t>17. Suite ISO — Tenant isolation (adversarial)</t>
        </is>
      </c>
      <c r="D230" s="11" t="inlineStr">
        <is>
          <t>Send a request with a **tenantId in the body or query** pointing to tenant B</t>
        </is>
      </c>
      <c r="E230" s="11" t="inlineStr">
        <is>
          <t>Ignored; the server uses the token's tenant only</t>
        </is>
      </c>
      <c r="F230" s="12" t="inlineStr">
        <is>
          <t>Not run</t>
        </is>
      </c>
      <c r="G230" s="13" t="b">
        <v>0</v>
      </c>
      <c r="H230" s="12" t="inlineStr"/>
      <c r="I230" s="14" t="n"/>
      <c r="J230" s="12" t="inlineStr"/>
      <c r="K230" s="12" t="inlineStr"/>
    </row>
    <row r="231">
      <c r="A231" s="11" t="inlineStr">
        <is>
          <t>ISO-05</t>
        </is>
      </c>
      <c r="B231" s="11" t="inlineStr">
        <is>
          <t>Tenant isolation</t>
        </is>
      </c>
      <c r="C231" s="11" t="inlineStr">
        <is>
          <t>17. Suite ISO — Tenant isolation (adversarial)</t>
        </is>
      </c>
      <c r="D231" s="11" t="inlineStr">
        <is>
          <t>Tamper the Authorization token's custom claim (edited token)</t>
        </is>
      </c>
      <c r="E231" s="11" t="inlineStr">
        <is>
          <t>Rejected by the server (signature check)</t>
        </is>
      </c>
      <c r="F231" s="12" t="inlineStr">
        <is>
          <t>Not run</t>
        </is>
      </c>
      <c r="G231" s="13" t="b">
        <v>0</v>
      </c>
      <c r="H231" s="12" t="inlineStr"/>
      <c r="I231" s="14" t="n"/>
      <c r="J231" s="12" t="inlineStr"/>
      <c r="K231" s="12" t="inlineStr"/>
    </row>
    <row r="232">
      <c r="A232" s="11" t="inlineStr">
        <is>
          <t>ISO-06</t>
        </is>
      </c>
      <c r="B232" s="11" t="inlineStr">
        <is>
          <t>Tenant isolation</t>
        </is>
      </c>
      <c r="C232" s="11" t="inlineStr">
        <is>
          <t>17. Suite ISO — Tenant isolation (adversarial)</t>
        </is>
      </c>
      <c r="D232" s="11" t="inlineStr">
        <is>
          <t>Attempt to read tenant B's **documents** via a guessed document id</t>
        </is>
      </c>
      <c r="E232" s="11" t="inlineStr">
        <is>
          <t>404 / refused</t>
        </is>
      </c>
      <c r="F232" s="12" t="inlineStr">
        <is>
          <t>Not run</t>
        </is>
      </c>
      <c r="G232" s="13" t="b">
        <v>0</v>
      </c>
      <c r="H232" s="12" t="inlineStr"/>
      <c r="I232" s="14" t="n"/>
      <c r="J232" s="12" t="inlineStr"/>
      <c r="K232" s="12" t="inlineStr"/>
    </row>
    <row r="233">
      <c r="A233" s="11" t="inlineStr">
        <is>
          <t>ISO-07</t>
        </is>
      </c>
      <c r="B233" s="11" t="inlineStr">
        <is>
          <t>Tenant isolation</t>
        </is>
      </c>
      <c r="C233" s="11" t="inlineStr">
        <is>
          <t>17. Suite ISO — Tenant isolation (adversarial)</t>
        </is>
      </c>
      <c r="D233" s="11" t="inlineStr">
        <is>
          <t>Attempt to read tenant B's **audit log** from tenant A's session</t>
        </is>
      </c>
      <c r="E233" s="11" t="inlineStr">
        <is>
          <t>Only tenant A events returned</t>
        </is>
      </c>
      <c r="F233" s="12" t="inlineStr">
        <is>
          <t>Not run</t>
        </is>
      </c>
      <c r="G233" s="13" t="b">
        <v>0</v>
      </c>
      <c r="H233" s="12" t="inlineStr"/>
      <c r="I233" s="14" t="n"/>
      <c r="J233" s="12" t="inlineStr"/>
      <c r="K233" s="12" t="inlineStr"/>
    </row>
    <row r="234">
      <c r="A234" s="11" t="inlineStr">
        <is>
          <t>ISO-08</t>
        </is>
      </c>
      <c r="B234" s="11" t="inlineStr">
        <is>
          <t>Tenant isolation</t>
        </is>
      </c>
      <c r="C234" s="11" t="inlineStr">
        <is>
          <t>17. Suite ISO — Tenant isolation (adversarial)</t>
        </is>
      </c>
      <c r="D234" s="11" t="inlineStr">
        <is>
          <t>Tenant A user list (`/api/access/users`) contains only tenant A users</t>
        </is>
      </c>
      <c r="E234" s="11" t="inlineStr">
        <is>
          <t>Confirmed</t>
        </is>
      </c>
      <c r="F234" s="12" t="inlineStr">
        <is>
          <t>Not run</t>
        </is>
      </c>
      <c r="G234" s="13" t="b">
        <v>0</v>
      </c>
      <c r="H234" s="12" t="inlineStr"/>
      <c r="I234" s="14" t="n"/>
      <c r="J234" s="12" t="inlineStr"/>
      <c r="K234" s="12" t="inlineStr"/>
    </row>
    <row r="235">
      <c r="A235" s="11" t="inlineStr">
        <is>
          <t>SEC-01</t>
        </is>
      </c>
      <c r="B235" s="11" t="inlineStr">
        <is>
          <t>Security</t>
        </is>
      </c>
      <c r="C235" s="11" t="inlineStr">
        <is>
          <t>18. Suite SEC — Security non-negotiables</t>
        </is>
      </c>
      <c r="D235" s="11" t="inlineStr">
        <is>
          <t>Money fields (CTC, pay) entered as `1234.56`</t>
        </is>
      </c>
      <c r="E235" s="11" t="inlineStr">
        <is>
          <t>Stored and displayed with exact precision; no rounding drift on re-save (`NUMERIC`, not float)</t>
        </is>
      </c>
      <c r="F235" s="12" t="inlineStr">
        <is>
          <t>Not run</t>
        </is>
      </c>
      <c r="G235" s="13" t="b">
        <v>0</v>
      </c>
      <c r="H235" s="12" t="inlineStr"/>
      <c r="I235" s="14" t="n"/>
      <c r="J235" s="12" t="inlineStr"/>
      <c r="K235" s="12" t="inlineStr"/>
    </row>
    <row r="236">
      <c r="A236" s="11" t="inlineStr">
        <is>
          <t>SEC-02</t>
        </is>
      </c>
      <c r="B236" s="11" t="inlineStr">
        <is>
          <t>Security</t>
        </is>
      </c>
      <c r="C236" s="11" t="inlineStr">
        <is>
          <t>18. Suite SEC — Security non-negotiables</t>
        </is>
      </c>
      <c r="D236" s="11" t="inlineStr">
        <is>
          <t>Timestamps: clock in at a known time</t>
        </is>
      </c>
      <c r="E236" s="11" t="inlineStr">
        <is>
          <t>Stored in UTC, displayed in IST (cross-check with the DB row)</t>
        </is>
      </c>
      <c r="F236" s="12" t="inlineStr">
        <is>
          <t>Not run</t>
        </is>
      </c>
      <c r="G236" s="13" t="b">
        <v>0</v>
      </c>
      <c r="H236" s="12" t="inlineStr"/>
      <c r="I236" s="14" t="n"/>
      <c r="J236" s="12" t="inlineStr"/>
      <c r="K236" s="12" t="inlineStr"/>
    </row>
    <row r="237">
      <c r="A237" s="11" t="inlineStr">
        <is>
          <t>SEC-03</t>
        </is>
      </c>
      <c r="B237" s="11" t="inlineStr">
        <is>
          <t>Security</t>
        </is>
      </c>
      <c r="C237" s="11" t="inlineStr">
        <is>
          <t>18. Suite SEC — Security non-negotiables</t>
        </is>
      </c>
      <c r="D237" s="11" t="inlineStr">
        <is>
          <t>Aadhaar entered as `1234 5678 9012`</t>
        </is>
      </c>
      <c r="E237" s="11" t="inlineStr">
        <is>
          <t>Only last 4 (`9012`) is stored; full number is never shown or saved (DB inspection)</t>
        </is>
      </c>
      <c r="F237" s="12" t="inlineStr">
        <is>
          <t>Not run</t>
        </is>
      </c>
      <c r="G237" s="13" t="b">
        <v>0</v>
      </c>
      <c r="H237" s="12" t="inlineStr"/>
      <c r="I237" s="14" t="n"/>
      <c r="J237" s="12" t="inlineStr"/>
      <c r="K237" s="12" t="inlineStr"/>
    </row>
    <row r="238">
      <c r="A238" s="11" t="inlineStr">
        <is>
          <t>SEC-04</t>
        </is>
      </c>
      <c r="B238" s="11" t="inlineStr">
        <is>
          <t>Security</t>
        </is>
      </c>
      <c r="C238" s="11" t="inlineStr">
        <is>
          <t>18. Suite SEC — Security non-negotiables</t>
        </is>
      </c>
      <c r="D238" s="11" t="inlineStr">
        <is>
          <t>PAN stored in the database</t>
        </is>
      </c>
      <c r="E238" s="11" t="inlineStr">
        <is>
          <t>Stored as ciphertext; only a masked form is shown in the UI (DB inspection shows no plain PAN)</t>
        </is>
      </c>
      <c r="F238" s="12" t="inlineStr">
        <is>
          <t>Not run</t>
        </is>
      </c>
      <c r="G238" s="13" t="b">
        <v>0</v>
      </c>
      <c r="H238" s="12" t="inlineStr"/>
      <c r="I238" s="14" t="n"/>
      <c r="J238" s="12" t="inlineStr"/>
      <c r="K238" s="12" t="inlineStr"/>
    </row>
    <row r="239">
      <c r="A239" s="11" t="inlineStr">
        <is>
          <t>SEC-05</t>
        </is>
      </c>
      <c r="B239" s="11" t="inlineStr">
        <is>
          <t>Security</t>
        </is>
      </c>
      <c r="C239" s="11" t="inlineStr">
        <is>
          <t>18. Suite SEC — Security non-negotiables</t>
        </is>
      </c>
      <c r="D239" s="11" t="inlineStr">
        <is>
          <t>Reveal a PAN and check audit</t>
        </is>
      </c>
      <c r="E239" s="11" t="inlineStr">
        <is>
          <t>Reveal logged (AUD-05)</t>
        </is>
      </c>
      <c r="F239" s="12" t="inlineStr">
        <is>
          <t>Not run</t>
        </is>
      </c>
      <c r="G239" s="13" t="b">
        <v>0</v>
      </c>
      <c r="H239" s="12" t="inlineStr"/>
      <c r="I239" s="14" t="n"/>
      <c r="J239" s="12" t="inlineStr"/>
      <c r="K239" s="12" t="inlineStr"/>
    </row>
    <row r="240">
      <c r="A240" s="11" t="inlineStr">
        <is>
          <t>SEC-06</t>
        </is>
      </c>
      <c r="B240" s="11" t="inlineStr">
        <is>
          <t>Security</t>
        </is>
      </c>
      <c r="C240" s="11" t="inlineStr">
        <is>
          <t>18. Suite SEC — Security non-negotiables</t>
        </is>
      </c>
      <c r="D240" s="11" t="inlineStr">
        <is>
          <t>Attempt to **update or delete** an audit-log row via SQL with the app role</t>
        </is>
      </c>
      <c r="E240" s="11" t="inlineStr">
        <is>
          <t>Permission denied (append-only at the DB grant level)</t>
        </is>
      </c>
      <c r="F240" s="12" t="inlineStr">
        <is>
          <t>Not run</t>
        </is>
      </c>
      <c r="G240" s="13" t="b">
        <v>0</v>
      </c>
      <c r="H240" s="12" t="inlineStr"/>
      <c r="I240" s="14" t="n"/>
      <c r="J240" s="12" t="inlineStr"/>
      <c r="K240" s="12" t="inlineStr"/>
    </row>
    <row r="241">
      <c r="A241" s="11" t="inlineStr">
        <is>
          <t>SEC-07</t>
        </is>
      </c>
      <c r="B241" s="11" t="inlineStr">
        <is>
          <t>Security</t>
        </is>
      </c>
      <c r="C241" s="11" t="inlineStr">
        <is>
          <t>18. Suite SEC — Security non-negotiables</t>
        </is>
      </c>
      <c r="D241" s="11" t="inlineStr">
        <is>
          <t>Attempt to **update** a platform audit row via the platform role</t>
        </is>
      </c>
      <c r="E241" s="11" t="inlineStr">
        <is>
          <t>Permission denied</t>
        </is>
      </c>
      <c r="F241" s="12" t="inlineStr">
        <is>
          <t>Not run</t>
        </is>
      </c>
      <c r="G241" s="13" t="b">
        <v>0</v>
      </c>
      <c r="H241" s="12" t="inlineStr"/>
      <c r="I241" s="14" t="n"/>
      <c r="J241" s="12" t="inlineStr"/>
      <c r="K241" s="12" t="inlineStr"/>
    </row>
    <row r="242">
      <c r="A242" s="11" t="inlineStr">
        <is>
          <t>SEC-08</t>
        </is>
      </c>
      <c r="B242" s="11" t="inlineStr">
        <is>
          <t>Security</t>
        </is>
      </c>
      <c r="C242" s="11" t="inlineStr">
        <is>
          <t>18. Suite SEC — Security non-negotiables</t>
        </is>
      </c>
      <c r="D242" s="11" t="inlineStr">
        <is>
          <t>Upload a malicious file (DOC-10)</t>
        </is>
      </c>
      <c r="E242" s="11" t="inlineStr">
        <is>
          <t>Blocked before any presigned URL is issued</t>
        </is>
      </c>
      <c r="F242" s="12" t="inlineStr">
        <is>
          <t>Not run</t>
        </is>
      </c>
      <c r="G242" s="13" t="b">
        <v>0</v>
      </c>
      <c r="H242" s="12" t="inlineStr"/>
      <c r="I242" s="14" t="n"/>
      <c r="J242" s="12" t="inlineStr"/>
      <c r="K242" s="12" t="inlineStr"/>
    </row>
    <row r="243">
      <c r="A243" s="11" t="inlineStr">
        <is>
          <t>SEC-09</t>
        </is>
      </c>
      <c r="B243" s="11" t="inlineStr">
        <is>
          <t>Security</t>
        </is>
      </c>
      <c r="C243" s="11" t="inlineStr">
        <is>
          <t>18. Suite SEC — Security non-negotiables</t>
        </is>
      </c>
      <c r="D243" s="11" t="inlineStr">
        <is>
          <t>Login rate / brute-force: 10 wrong passwords quickly</t>
        </is>
      </c>
      <c r="E243" s="11" t="inlineStr">
        <is>
          <t>Throttled or handled without leaking whether the account exists</t>
        </is>
      </c>
      <c r="F243" s="12" t="inlineStr">
        <is>
          <t>Not run</t>
        </is>
      </c>
      <c r="G243" s="13" t="b">
        <v>0</v>
      </c>
      <c r="H243" s="12" t="inlineStr"/>
      <c r="I243" s="14" t="n"/>
      <c r="J243" s="12" t="inlineStr"/>
      <c r="K243" s="12" t="inlineStr"/>
    </row>
    <row r="244">
      <c r="A244" s="11" t="inlineStr">
        <is>
          <t>SEC-10</t>
        </is>
      </c>
      <c r="B244" s="11" t="inlineStr">
        <is>
          <t>Security</t>
        </is>
      </c>
      <c r="C244" s="11" t="inlineStr">
        <is>
          <t>18. Suite SEC — Security non-negotiables</t>
        </is>
      </c>
      <c r="D244" s="11" t="inlineStr">
        <is>
          <t>Browser devtools: check no tokens or secrets in `localStorage`/page source beyond the Firebase ID token flow</t>
        </is>
      </c>
      <c r="E244" s="11" t="inlineStr">
        <is>
          <t>No API keys beyond public Firebase config; no database strings</t>
        </is>
      </c>
      <c r="F244" s="12" t="inlineStr">
        <is>
          <t>Not run</t>
        </is>
      </c>
      <c r="G244" s="13" t="b">
        <v>0</v>
      </c>
      <c r="H244" s="12" t="inlineStr"/>
      <c r="I244" s="14" t="n"/>
      <c r="J244" s="12" t="inlineStr"/>
      <c r="K244" s="12" t="inlineStr"/>
    </row>
    <row r="245">
      <c r="A245" s="11" t="inlineStr">
        <is>
          <t>NFR-01</t>
        </is>
      </c>
      <c r="B245" s="11" t="inlineStr">
        <is>
          <t>Non-functional</t>
        </is>
      </c>
      <c r="C245" s="11" t="inlineStr">
        <is>
          <t>19. Suite NFR — Non-functional</t>
        </is>
      </c>
      <c r="D245" s="11" t="inlineStr">
        <is>
          <t>Page load of the dashboard on the preview URL</t>
        </is>
      </c>
      <c r="E245" s="11" t="inlineStr">
        <is>
          <t>Under ~3 s on a normal connection</t>
        </is>
      </c>
      <c r="F245" s="12" t="inlineStr">
        <is>
          <t>Not run</t>
        </is>
      </c>
      <c r="G245" s="13" t="b">
        <v>0</v>
      </c>
      <c r="H245" s="12" t="inlineStr"/>
      <c r="I245" s="14" t="n"/>
      <c r="J245" s="12" t="inlineStr"/>
      <c r="K245" s="12" t="inlineStr"/>
    </row>
    <row r="246">
      <c r="A246" s="11" t="inlineStr">
        <is>
          <t>NFR-02</t>
        </is>
      </c>
      <c r="B246" s="11" t="inlineStr">
        <is>
          <t>Non-functional</t>
        </is>
      </c>
      <c r="C246" s="11" t="inlineStr">
        <is>
          <t>19. Suite NFR — Non-functional</t>
        </is>
      </c>
      <c r="D246" s="11" t="inlineStr">
        <is>
          <t>Phone-width (≈390 px) — sign in, dashboard, apply leave, clock in</t>
        </is>
      </c>
      <c r="E246" s="11" t="inlineStr">
        <is>
          <t>All usable; no horizontal scroll; 16 px side gutter</t>
        </is>
      </c>
      <c r="F246" s="12" t="inlineStr">
        <is>
          <t>Not run</t>
        </is>
      </c>
      <c r="G246" s="13" t="b">
        <v>0</v>
      </c>
      <c r="H246" s="12" t="inlineStr"/>
      <c r="I246" s="14" t="n"/>
      <c r="J246" s="12" t="inlineStr"/>
      <c r="K246" s="12" t="inlineStr"/>
    </row>
    <row r="247">
      <c r="A247" s="11" t="inlineStr">
        <is>
          <t>NFR-03</t>
        </is>
      </c>
      <c r="B247" s="11" t="inlineStr">
        <is>
          <t>Non-functional</t>
        </is>
      </c>
      <c r="C247" s="11" t="inlineStr">
        <is>
          <t>19. Suite NFR — Non-functional</t>
        </is>
      </c>
      <c r="D247" s="11" t="inlineStr">
        <is>
          <t>Tablet width (≈768 px) — org chart and employee list</t>
        </is>
      </c>
      <c r="E247" s="11" t="inlineStr">
        <is>
          <t>Readable; no clipped content</t>
        </is>
      </c>
      <c r="F247" s="12" t="inlineStr">
        <is>
          <t>Not run</t>
        </is>
      </c>
      <c r="G247" s="13" t="b">
        <v>0</v>
      </c>
      <c r="H247" s="12" t="inlineStr"/>
      <c r="I247" s="14" t="n"/>
      <c r="J247" s="12" t="inlineStr"/>
      <c r="K247" s="12" t="inlineStr"/>
    </row>
    <row r="248">
      <c r="A248" s="11" t="inlineStr">
        <is>
          <t>NFR-04</t>
        </is>
      </c>
      <c r="B248" s="11" t="inlineStr">
        <is>
          <t>Non-functional</t>
        </is>
      </c>
      <c r="C248" s="11" t="inlineStr">
        <is>
          <t>19. Suite NFR — Non-functional</t>
        </is>
      </c>
      <c r="D248" s="11" t="inlineStr">
        <is>
          <t>Empty states: a brand-new tenant with no leave requests</t>
        </is>
      </c>
      <c r="E248" s="11" t="inlineStr">
        <is>
          <t>Friendly empty-state messages; no errors</t>
        </is>
      </c>
      <c r="F248" s="12" t="inlineStr">
        <is>
          <t>Not run</t>
        </is>
      </c>
      <c r="G248" s="13" t="b">
        <v>0</v>
      </c>
      <c r="H248" s="12" t="inlineStr"/>
      <c r="I248" s="14" t="n"/>
      <c r="J248" s="12" t="inlineStr"/>
      <c r="K248" s="12" t="inlineStr"/>
    </row>
    <row r="249">
      <c r="A249" s="11" t="inlineStr">
        <is>
          <t>NFR-05</t>
        </is>
      </c>
      <c r="B249" s="11" t="inlineStr">
        <is>
          <t>Non-functional</t>
        </is>
      </c>
      <c r="C249" s="11" t="inlineStr">
        <is>
          <t>19. Suite NFR — Non-functional</t>
        </is>
      </c>
      <c r="D249" s="11" t="inlineStr">
        <is>
          <t>Error handling: stop the API briefly and click an action</t>
        </is>
      </c>
      <c r="E249" s="11" t="inlineStr">
        <is>
          <t>Clear error toast; UI recovers when the API returns</t>
        </is>
      </c>
      <c r="F249" s="12" t="inlineStr">
        <is>
          <t>Not run</t>
        </is>
      </c>
      <c r="G249" s="13" t="b">
        <v>0</v>
      </c>
      <c r="H249" s="12" t="inlineStr"/>
      <c r="I249" s="14" t="n"/>
      <c r="J249" s="12" t="inlineStr"/>
      <c r="K249" s="12" t="inlineStr"/>
    </row>
    <row r="250">
      <c r="A250" s="11" t="inlineStr">
        <is>
          <t>NFR-06</t>
        </is>
      </c>
      <c r="B250" s="11" t="inlineStr">
        <is>
          <t>Non-functional</t>
        </is>
      </c>
      <c r="C250" s="11" t="inlineStr">
        <is>
          <t>19. Suite NFR — Non-functional</t>
        </is>
      </c>
      <c r="D250" s="11" t="inlineStr">
        <is>
          <t>Timezone: a leave date entered in IST shows the same date in the list</t>
        </is>
      </c>
      <c r="E250" s="11" t="inlineStr">
        <is>
          <t>No off-by-one day</t>
        </is>
      </c>
      <c r="F250" s="12" t="inlineStr">
        <is>
          <t>Not run</t>
        </is>
      </c>
      <c r="G250" s="13" t="b">
        <v>0</v>
      </c>
      <c r="H250" s="12" t="inlineStr"/>
      <c r="I250" s="14" t="n"/>
      <c r="J250" s="12" t="inlineStr"/>
      <c r="K250" s="12" t="inlineStr"/>
    </row>
    <row r="251">
      <c r="A251" s="11" t="inlineStr">
        <is>
          <t>NFR-07</t>
        </is>
      </c>
      <c r="B251" s="11" t="inlineStr">
        <is>
          <t>Non-functional</t>
        </is>
      </c>
      <c r="C251" s="11" t="inlineStr">
        <is>
          <t>19. Suite NFR — Non-functional</t>
        </is>
      </c>
      <c r="D251" s="11" t="inlineStr">
        <is>
          <t>Run automated suites: `npm run test:api` and `npm run test:e2e` (or `./scripts/dev.sh test`)</t>
        </is>
      </c>
      <c r="E251" s="11" t="inlineStr">
        <is>
          <t>All green; record counts (~214 unit + ~44 documents e2e at last sync — check current)</t>
        </is>
      </c>
      <c r="F251" s="12" t="inlineStr">
        <is>
          <t>Not run</t>
        </is>
      </c>
      <c r="G251" s="13" t="b">
        <v>0</v>
      </c>
      <c r="H251" s="12" t="inlineStr"/>
      <c r="I251" s="14" t="n"/>
      <c r="J251" s="12" t="inlineStr"/>
      <c r="K251" s="12" t="inlineStr"/>
    </row>
    <row r="252">
      <c r="A252" s="11" t="inlineStr">
        <is>
          <t>NFR-08</t>
        </is>
      </c>
      <c r="B252" s="11" t="inlineStr">
        <is>
          <t>Non-functional</t>
        </is>
      </c>
      <c r="C252" s="11" t="inlineStr">
        <is>
          <t>19. Suite NFR — Non-functional</t>
        </is>
      </c>
      <c r="D252" s="11" t="inlineStr">
        <is>
          <t>`npm run build` and `npm run lint` at repo root</t>
        </is>
      </c>
      <c r="E252" s="11" t="inlineStr">
        <is>
          <t>Clean</t>
        </is>
      </c>
      <c r="F252" s="12" t="inlineStr">
        <is>
          <t>Not run</t>
        </is>
      </c>
      <c r="G252" s="13" t="b">
        <v>0</v>
      </c>
      <c r="H252" s="12" t="inlineStr"/>
      <c r="I252" s="14" t="n"/>
      <c r="J252" s="12" t="inlineStr"/>
      <c r="K252" s="12" t="inlineStr"/>
    </row>
  </sheetData>
  <autoFilter ref="A1:K252"/>
  <conditionalFormatting sqref="F2:F252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2">
      <formula>"Blocked"</formula>
    </cfRule>
    <cfRule type="cellIs" priority="4" operator="equal" dxfId="3">
      <formula>"Skipped"</formula>
    </cfRule>
  </conditionalFormatting>
  <conditionalFormatting sqref="A2:E252">
    <cfRule type="expression" priority="5" dxfId="4">
      <formula>$F2="Pass"</formula>
    </cfRule>
  </conditionalFormatting>
  <dataValidations count="1">
    <dataValidation sqref="F2:F252" showErrorMessage="1" showInputMessage="1" allowBlank="0" error="Choose Not run, Pass, Fail, Blocked or Skipped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60" customWidth="1" min="4" max="4"/>
    <col width="18" customWidth="1" min="5" max="5"/>
    <col width="14" customWidth="1" min="6" max="6"/>
    <col width="45" customWidth="1" min="7" max="7"/>
  </cols>
  <sheetData>
    <row r="1">
      <c r="A1" s="15" t="inlineStr">
        <is>
          <t>Defect ID</t>
        </is>
      </c>
      <c r="B1" s="15" t="inlineStr">
        <is>
          <t>Case ID</t>
        </is>
      </c>
      <c r="C1" s="15" t="inlineStr">
        <is>
          <t>Severity</t>
        </is>
      </c>
      <c r="D1" s="15" t="inlineStr">
        <is>
          <t>Description (observed vs expected)</t>
        </is>
      </c>
      <c r="E1" s="15" t="inlineStr">
        <is>
          <t>Owner</t>
        </is>
      </c>
      <c r="F1" s="15" t="inlineStr">
        <is>
          <t>Status</t>
        </is>
      </c>
      <c r="G1" s="15" t="inlineStr">
        <is>
          <t>Fix / retest notes</t>
        </is>
      </c>
    </row>
    <row r="2">
      <c r="A2" s="11" t="inlineStr">
        <is>
          <t>D-001</t>
        </is>
      </c>
      <c r="B2" s="11" t="n"/>
      <c r="C2" s="11" t="n"/>
      <c r="D2" s="11" t="n"/>
      <c r="E2" s="11" t="n"/>
      <c r="F2" s="11" t="n"/>
      <c r="G2" s="11" t="n"/>
    </row>
    <row r="3">
      <c r="A3" s="11" t="inlineStr">
        <is>
          <t>D-002</t>
        </is>
      </c>
      <c r="B3" s="11" t="n"/>
      <c r="C3" s="11" t="n"/>
      <c r="D3" s="11" t="n"/>
      <c r="E3" s="11" t="n"/>
      <c r="F3" s="11" t="n"/>
      <c r="G3" s="11" t="n"/>
    </row>
    <row r="4">
      <c r="A4" s="11" t="inlineStr">
        <is>
          <t>D-003</t>
        </is>
      </c>
      <c r="B4" s="11" t="n"/>
      <c r="C4" s="11" t="n"/>
      <c r="D4" s="11" t="n"/>
      <c r="E4" s="11" t="n"/>
      <c r="F4" s="11" t="n"/>
      <c r="G4" s="11" t="n"/>
    </row>
    <row r="5">
      <c r="A5" s="11" t="inlineStr">
        <is>
          <t>D-004</t>
        </is>
      </c>
      <c r="B5" s="11" t="n"/>
      <c r="C5" s="11" t="n"/>
      <c r="D5" s="11" t="n"/>
      <c r="E5" s="11" t="n"/>
      <c r="F5" s="11" t="n"/>
      <c r="G5" s="11" t="n"/>
    </row>
    <row r="6">
      <c r="A6" s="11" t="inlineStr">
        <is>
          <t>D-005</t>
        </is>
      </c>
      <c r="B6" s="11" t="n"/>
      <c r="C6" s="11" t="n"/>
      <c r="D6" s="11" t="n"/>
      <c r="E6" s="11" t="n"/>
      <c r="F6" s="11" t="n"/>
      <c r="G6" s="11" t="n"/>
    </row>
    <row r="7">
      <c r="A7" s="11" t="inlineStr">
        <is>
          <t>D-006</t>
        </is>
      </c>
      <c r="B7" s="11" t="n"/>
      <c r="C7" s="11" t="n"/>
      <c r="D7" s="11" t="n"/>
      <c r="E7" s="11" t="n"/>
      <c r="F7" s="11" t="n"/>
      <c r="G7" s="11" t="n"/>
    </row>
    <row r="8">
      <c r="A8" s="11" t="inlineStr">
        <is>
          <t>D-007</t>
        </is>
      </c>
      <c r="B8" s="11" t="n"/>
      <c r="C8" s="11" t="n"/>
      <c r="D8" s="11" t="n"/>
      <c r="E8" s="11" t="n"/>
      <c r="F8" s="11" t="n"/>
      <c r="G8" s="11" t="n"/>
    </row>
    <row r="9">
      <c r="A9" s="11" t="inlineStr">
        <is>
          <t>D-008</t>
        </is>
      </c>
      <c r="B9" s="11" t="n"/>
      <c r="C9" s="11" t="n"/>
      <c r="D9" s="11" t="n"/>
      <c r="E9" s="11" t="n"/>
      <c r="F9" s="11" t="n"/>
      <c r="G9" s="11" t="n"/>
    </row>
    <row r="10">
      <c r="A10" s="11" t="inlineStr">
        <is>
          <t>D-009</t>
        </is>
      </c>
      <c r="B10" s="11" t="n"/>
      <c r="C10" s="11" t="n"/>
      <c r="D10" s="11" t="n"/>
      <c r="E10" s="11" t="n"/>
      <c r="F10" s="11" t="n"/>
      <c r="G10" s="11" t="n"/>
    </row>
    <row r="11">
      <c r="A11" s="11" t="inlineStr">
        <is>
          <t>D-010</t>
        </is>
      </c>
      <c r="B11" s="11" t="n"/>
      <c r="C11" s="11" t="n"/>
      <c r="D11" s="11" t="n"/>
      <c r="E11" s="11" t="n"/>
      <c r="F11" s="11" t="n"/>
      <c r="G11" s="11" t="n"/>
    </row>
    <row r="12">
      <c r="A12" s="11" t="inlineStr">
        <is>
          <t>D-011</t>
        </is>
      </c>
      <c r="B12" s="11" t="n"/>
      <c r="C12" s="11" t="n"/>
      <c r="D12" s="11" t="n"/>
      <c r="E12" s="11" t="n"/>
      <c r="F12" s="11" t="n"/>
      <c r="G12" s="11" t="n"/>
    </row>
    <row r="13">
      <c r="A13" s="11" t="inlineStr">
        <is>
          <t>D-012</t>
        </is>
      </c>
      <c r="B13" s="11" t="n"/>
      <c r="C13" s="11" t="n"/>
      <c r="D13" s="11" t="n"/>
      <c r="E13" s="11" t="n"/>
      <c r="F13" s="11" t="n"/>
      <c r="G13" s="11" t="n"/>
    </row>
    <row r="14">
      <c r="A14" s="11" t="inlineStr">
        <is>
          <t>D-013</t>
        </is>
      </c>
      <c r="B14" s="11" t="n"/>
      <c r="C14" s="11" t="n"/>
      <c r="D14" s="11" t="n"/>
      <c r="E14" s="11" t="n"/>
      <c r="F14" s="11" t="n"/>
      <c r="G14" s="11" t="n"/>
    </row>
    <row r="15">
      <c r="A15" s="11" t="inlineStr">
        <is>
          <t>D-014</t>
        </is>
      </c>
      <c r="B15" s="11" t="n"/>
      <c r="C15" s="11" t="n"/>
      <c r="D15" s="11" t="n"/>
      <c r="E15" s="11" t="n"/>
      <c r="F15" s="11" t="n"/>
      <c r="G15" s="11" t="n"/>
    </row>
    <row r="16">
      <c r="A16" s="11" t="inlineStr">
        <is>
          <t>D-015</t>
        </is>
      </c>
      <c r="B16" s="11" t="n"/>
      <c r="C16" s="11" t="n"/>
      <c r="D16" s="11" t="n"/>
      <c r="E16" s="11" t="n"/>
      <c r="F16" s="11" t="n"/>
      <c r="G16" s="11" t="n"/>
    </row>
    <row r="17">
      <c r="A17" s="11" t="inlineStr">
        <is>
          <t>D-016</t>
        </is>
      </c>
      <c r="B17" s="11" t="n"/>
      <c r="C17" s="11" t="n"/>
      <c r="D17" s="11" t="n"/>
      <c r="E17" s="11" t="n"/>
      <c r="F17" s="11" t="n"/>
      <c r="G17" s="11" t="n"/>
    </row>
    <row r="18">
      <c r="A18" s="11" t="inlineStr">
        <is>
          <t>D-017</t>
        </is>
      </c>
      <c r="B18" s="11" t="n"/>
      <c r="C18" s="11" t="n"/>
      <c r="D18" s="11" t="n"/>
      <c r="E18" s="11" t="n"/>
      <c r="F18" s="11" t="n"/>
      <c r="G18" s="11" t="n"/>
    </row>
    <row r="19">
      <c r="A19" s="11" t="inlineStr">
        <is>
          <t>D-018</t>
        </is>
      </c>
      <c r="B19" s="11" t="n"/>
      <c r="C19" s="11" t="n"/>
      <c r="D19" s="11" t="n"/>
      <c r="E19" s="11" t="n"/>
      <c r="F19" s="11" t="n"/>
      <c r="G19" s="11" t="n"/>
    </row>
    <row r="20">
      <c r="A20" s="11" t="inlineStr">
        <is>
          <t>D-019</t>
        </is>
      </c>
      <c r="B20" s="11" t="n"/>
      <c r="C20" s="11" t="n"/>
      <c r="D20" s="11" t="n"/>
      <c r="E20" s="11" t="n"/>
      <c r="F20" s="11" t="n"/>
      <c r="G20" s="11" t="n"/>
    </row>
    <row r="21">
      <c r="A21" s="11" t="inlineStr">
        <is>
          <t>D-020</t>
        </is>
      </c>
      <c r="B21" s="11" t="n"/>
      <c r="C21" s="11" t="n"/>
      <c r="D21" s="11" t="n"/>
      <c r="E21" s="11" t="n"/>
      <c r="F21" s="11" t="n"/>
      <c r="G21" s="11" t="n"/>
    </row>
    <row r="22">
      <c r="A22" s="11" t="inlineStr">
        <is>
          <t>D-021</t>
        </is>
      </c>
      <c r="B22" s="11" t="n"/>
      <c r="C22" s="11" t="n"/>
      <c r="D22" s="11" t="n"/>
      <c r="E22" s="11" t="n"/>
      <c r="F22" s="11" t="n"/>
      <c r="G22" s="11" t="n"/>
    </row>
    <row r="23">
      <c r="A23" s="11" t="inlineStr">
        <is>
          <t>D-022</t>
        </is>
      </c>
      <c r="B23" s="11" t="n"/>
      <c r="C23" s="11" t="n"/>
      <c r="D23" s="11" t="n"/>
      <c r="E23" s="11" t="n"/>
      <c r="F23" s="11" t="n"/>
      <c r="G23" s="11" t="n"/>
    </row>
    <row r="24">
      <c r="A24" s="11" t="inlineStr">
        <is>
          <t>D-023</t>
        </is>
      </c>
      <c r="B24" s="11" t="n"/>
      <c r="C24" s="11" t="n"/>
      <c r="D24" s="11" t="n"/>
      <c r="E24" s="11" t="n"/>
      <c r="F24" s="11" t="n"/>
      <c r="G24" s="11" t="n"/>
    </row>
    <row r="25">
      <c r="A25" s="11" t="inlineStr">
        <is>
          <t>D-024</t>
        </is>
      </c>
      <c r="B25" s="11" t="n"/>
      <c r="C25" s="11" t="n"/>
      <c r="D25" s="11" t="n"/>
      <c r="E25" s="11" t="n"/>
      <c r="F25" s="11" t="n"/>
      <c r="G25" s="11" t="n"/>
    </row>
    <row r="26">
      <c r="A26" s="11" t="inlineStr">
        <is>
          <t>D-025</t>
        </is>
      </c>
      <c r="B26" s="11" t="n"/>
      <c r="C26" s="11" t="n"/>
      <c r="D26" s="11" t="n"/>
      <c r="E26" s="11" t="n"/>
      <c r="F26" s="11" t="n"/>
      <c r="G26" s="11" t="n"/>
    </row>
    <row r="27">
      <c r="A27" s="11" t="inlineStr">
        <is>
          <t>D-026</t>
        </is>
      </c>
      <c r="B27" s="11" t="n"/>
      <c r="C27" s="11" t="n"/>
      <c r="D27" s="11" t="n"/>
      <c r="E27" s="11" t="n"/>
      <c r="F27" s="11" t="n"/>
      <c r="G27" s="11" t="n"/>
    </row>
    <row r="28">
      <c r="A28" s="11" t="inlineStr">
        <is>
          <t>D-027</t>
        </is>
      </c>
      <c r="B28" s="11" t="n"/>
      <c r="C28" s="11" t="n"/>
      <c r="D28" s="11" t="n"/>
      <c r="E28" s="11" t="n"/>
      <c r="F28" s="11" t="n"/>
      <c r="G28" s="11" t="n"/>
    </row>
    <row r="29">
      <c r="A29" s="11" t="inlineStr">
        <is>
          <t>D-028</t>
        </is>
      </c>
      <c r="B29" s="11" t="n"/>
      <c r="C29" s="11" t="n"/>
      <c r="D29" s="11" t="n"/>
      <c r="E29" s="11" t="n"/>
      <c r="F29" s="11" t="n"/>
      <c r="G29" s="11" t="n"/>
    </row>
    <row r="30">
      <c r="A30" s="11" t="inlineStr">
        <is>
          <t>D-029</t>
        </is>
      </c>
      <c r="B30" s="11" t="n"/>
      <c r="C30" s="11" t="n"/>
      <c r="D30" s="11" t="n"/>
      <c r="E30" s="11" t="n"/>
      <c r="F30" s="11" t="n"/>
      <c r="G30" s="11" t="n"/>
    </row>
    <row r="31">
      <c r="A31" s="11" t="inlineStr">
        <is>
          <t>D-030</t>
        </is>
      </c>
      <c r="B31" s="11" t="n"/>
      <c r="C31" s="11" t="n"/>
      <c r="D31" s="11" t="n"/>
      <c r="E31" s="11" t="n"/>
      <c r="F31" s="11" t="n"/>
      <c r="G31" s="11" t="n"/>
    </row>
    <row r="32">
      <c r="A32" s="11" t="inlineStr">
        <is>
          <t>D-031</t>
        </is>
      </c>
      <c r="B32" s="11" t="n"/>
      <c r="C32" s="11" t="n"/>
      <c r="D32" s="11" t="n"/>
      <c r="E32" s="11" t="n"/>
      <c r="F32" s="11" t="n"/>
      <c r="G32" s="11" t="n"/>
    </row>
    <row r="33">
      <c r="A33" s="11" t="inlineStr">
        <is>
          <t>D-032</t>
        </is>
      </c>
      <c r="B33" s="11" t="n"/>
      <c r="C33" s="11" t="n"/>
      <c r="D33" s="11" t="n"/>
      <c r="E33" s="11" t="n"/>
      <c r="F33" s="11" t="n"/>
      <c r="G33" s="11" t="n"/>
    </row>
    <row r="34">
      <c r="A34" s="11" t="inlineStr">
        <is>
          <t>D-033</t>
        </is>
      </c>
      <c r="B34" s="11" t="n"/>
      <c r="C34" s="11" t="n"/>
      <c r="D34" s="11" t="n"/>
      <c r="E34" s="11" t="n"/>
      <c r="F34" s="11" t="n"/>
      <c r="G34" s="11" t="n"/>
    </row>
    <row r="35">
      <c r="A35" s="11" t="inlineStr">
        <is>
          <t>D-034</t>
        </is>
      </c>
      <c r="B35" s="11" t="n"/>
      <c r="C35" s="11" t="n"/>
      <c r="D35" s="11" t="n"/>
      <c r="E35" s="11" t="n"/>
      <c r="F35" s="11" t="n"/>
      <c r="G35" s="11" t="n"/>
    </row>
    <row r="36">
      <c r="A36" s="11" t="inlineStr">
        <is>
          <t>D-035</t>
        </is>
      </c>
      <c r="B36" s="11" t="n"/>
      <c r="C36" s="11" t="n"/>
      <c r="D36" s="11" t="n"/>
      <c r="E36" s="11" t="n"/>
      <c r="F36" s="11" t="n"/>
      <c r="G36" s="11" t="n"/>
    </row>
    <row r="37">
      <c r="A37" s="11" t="inlineStr">
        <is>
          <t>D-036</t>
        </is>
      </c>
      <c r="B37" s="11" t="n"/>
      <c r="C37" s="11" t="n"/>
      <c r="D37" s="11" t="n"/>
      <c r="E37" s="11" t="n"/>
      <c r="F37" s="11" t="n"/>
      <c r="G37" s="11" t="n"/>
    </row>
    <row r="38">
      <c r="A38" s="11" t="inlineStr">
        <is>
          <t>D-037</t>
        </is>
      </c>
      <c r="B38" s="11" t="n"/>
      <c r="C38" s="11" t="n"/>
      <c r="D38" s="11" t="n"/>
      <c r="E38" s="11" t="n"/>
      <c r="F38" s="11" t="n"/>
      <c r="G38" s="11" t="n"/>
    </row>
    <row r="39">
      <c r="A39" s="11" t="inlineStr">
        <is>
          <t>D-038</t>
        </is>
      </c>
      <c r="B39" s="11" t="n"/>
      <c r="C39" s="11" t="n"/>
      <c r="D39" s="11" t="n"/>
      <c r="E39" s="11" t="n"/>
      <c r="F39" s="11" t="n"/>
      <c r="G39" s="11" t="n"/>
    </row>
    <row r="40">
      <c r="A40" s="11" t="inlineStr">
        <is>
          <t>D-039</t>
        </is>
      </c>
      <c r="B40" s="11" t="n"/>
      <c r="C40" s="11" t="n"/>
      <c r="D40" s="11" t="n"/>
      <c r="E40" s="11" t="n"/>
      <c r="F40" s="11" t="n"/>
      <c r="G40" s="11" t="n"/>
    </row>
    <row r="41">
      <c r="A41" s="11" t="inlineStr">
        <is>
          <t>D-040</t>
        </is>
      </c>
      <c r="B41" s="11" t="n"/>
      <c r="C41" s="11" t="n"/>
      <c r="D41" s="11" t="n"/>
      <c r="E41" s="11" t="n"/>
      <c r="F41" s="11" t="n"/>
      <c r="G41" s="11" t="n"/>
    </row>
  </sheetData>
  <dataValidations count="2">
    <dataValidation sqref="C2:C41" showErrorMessage="1" showInputMessage="1" allowBlank="0" type="list">
      <formula1>"P0 - Security/isolation,P1 - Blocks flow,P2 - Workaround exists,P3 - Cosmetic"</formula1>
    </dataValidation>
    <dataValidation sqref="F2:F41" showErrorMessage="1" showInputMessage="1" allowBlank="0" type="list">
      <formula1>"Open,In progress,Fixed - retest,Closed,Won't fix"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HOW TO USE THIS TRACKER</t>
        </is>
      </c>
    </row>
    <row r="2">
      <c r="A2" s="17" t="inlineStr"/>
    </row>
    <row r="3">
      <c r="A3" s="17" t="inlineStr">
        <is>
          <t>1. Test Cases sheet: one row per case. Work top to bottom (later suites depend on data from earlier ones).</t>
        </is>
      </c>
    </row>
    <row r="4">
      <c r="A4" s="17" t="inlineStr">
        <is>
          <t>2. Status (yellow dropdown): Not run / Pass / Fail / Blocked / Skipped.</t>
        </is>
      </c>
    </row>
    <row r="5">
      <c r="A5" s="17" t="inlineStr">
        <is>
          <t xml:space="preserve">   - Pass only if EVERY expected point holds. Partial = Fail.</t>
        </is>
      </c>
    </row>
    <row r="6">
      <c r="A6" s="17" t="inlineStr">
        <is>
          <t xml:space="preserve">   - Blocked = cannot run (say why in Comments). Skipped = deliberately not run (say why).</t>
        </is>
      </c>
    </row>
    <row r="7">
      <c r="A7" s="17" t="inlineStr">
        <is>
          <t>3. Done (✔): tick when the case is finished, whatever the outcome. Use the filter on Status to see what is left.</t>
        </is>
      </c>
    </row>
    <row r="8">
      <c r="A8" s="17" t="inlineStr">
        <is>
          <t>4. Tester and Date tested: who ran it and when.</t>
        </is>
      </c>
    </row>
    <row r="9">
      <c r="A9" s="17" t="inlineStr">
        <is>
          <t>5. Comments: write the observed behaviour, especially for Fail. Include screenshot names or request IDs if useful.</t>
        </is>
      </c>
    </row>
    <row r="10">
      <c r="A10" s="17" t="inlineStr">
        <is>
          <t>6. Defect ID: link a Fail to a row on the Defects sheet (D-001, D-002, …).</t>
        </is>
      </c>
    </row>
    <row r="11">
      <c r="A11" s="17" t="inlineStr">
        <is>
          <t>7. Summary sheet updates automatically. Do not type in it.</t>
        </is>
      </c>
    </row>
    <row r="12">
      <c r="A12" s="17" t="inlineStr"/>
    </row>
    <row r="13">
      <c r="A13" s="17" t="inlineStr">
        <is>
          <t>Severity: P0 = tenant isolation or security (stop the demo). P1 = blocks a flow. P2 = wrong but has a workaround. P3 = cosmetic.</t>
        </is>
      </c>
    </row>
    <row r="14">
      <c r="A14" s="17" t="inlineStr">
        <is>
          <t>Tip: filter the Test Cases sheet by Suite or Status to run one persona or area at a time.</t>
        </is>
      </c>
    </row>
    <row r="15">
      <c r="A15" s="17" t="inlineStr">
        <is>
          <t>Tip: keep a copy per rehearsal (e.g. "Tracker - Rehearsal 1.xlsx") so you can compare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2026-10-05T09:43:50Z</dcterms:created>
  <dcterms:modified xmlns:dcterms="http://purl.org/dc/terms/" xmlns:xsi="http://www.w3.org/2001/XMLSchema-instance" xsi:type="dcterms:W3CDTF">2026-10-05T09:43:50Z</dcterms:modified>
</cp:coreProperties>
</file>